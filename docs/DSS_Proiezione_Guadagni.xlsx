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iezioni + Versamenti" sheetId="1" state="visible" r:id="rId3"/>
    <sheet name="Solo Trading" sheetId="2" state="visible" r:id="rId4"/>
    <sheet name="Scenar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<sst xmlns="http://schemas.openxmlformats.org/spreadsheetml/2006/main" count="95" uniqueCount="70">
  <si>
    <t xml:space="preserve">DSS TRADING SYSTEM — Proiezione Guadagni con Versamenti Mensili</t>
  </si>
  <si>
    <t xml:space="preserve">Basato su backtest PF 1.19 | WR 60% | Risk 1.5% equity | Compound | Versamento €1.000/mese</t>
  </si>
  <si>
    <t xml:space="preserve">PARAMETRI DEL MODELLO</t>
  </si>
  <si>
    <t xml:space="preserve">Rendimento mensile medio</t>
  </si>
  <si>
    <t xml:space="preserve">Stima conservativa da PF 1.19 (~8% annuo)</t>
  </si>
  <si>
    <t xml:space="preserve">Versamento mensile</t>
  </si>
  <si>
    <t xml:space="preserve">Aggiunta capitale ogni mese</t>
  </si>
  <si>
    <t xml:space="preserve">Tasse capital gain</t>
  </si>
  <si>
    <t xml:space="preserve">Aliquota italiana su plusvalenze</t>
  </si>
  <si>
    <t xml:space="preserve">Capitale iniziale: 1.000 €</t>
  </si>
  <si>
    <t xml:space="preserve">Capitale iniziale: 5.000 €</t>
  </si>
  <si>
    <t xml:space="preserve">Capitale iniziale: 10.000 €</t>
  </si>
  <si>
    <t xml:space="preserve">Capitale iniziale: 15.000 €</t>
  </si>
  <si>
    <t xml:space="preserve">Capitale iniziale: 25.000 €</t>
  </si>
  <si>
    <t xml:space="preserve">Capitale iniziale: 50.000 €</t>
  </si>
  <si>
    <t xml:space="preserve">Mese</t>
  </si>
  <si>
    <t xml:space="preserve">Capitale Totale</t>
  </si>
  <si>
    <t xml:space="preserve">Profitto Mese</t>
  </si>
  <si>
    <t xml:space="preserve">RIEPILOGO</t>
  </si>
  <si>
    <t xml:space="preserve">Totale versato (36 mesi)</t>
  </si>
  <si>
    <t xml:space="preserve">Capitale finale (lordo)</t>
  </si>
  <si>
    <t xml:space="preserve">Profitto totale lordo</t>
  </si>
  <si>
    <t xml:space="preserve">Tasse (26%)</t>
  </si>
  <si>
    <t xml:space="preserve">Profitto netto dopo tasse</t>
  </si>
  <si>
    <t xml:space="preserve">ROI totale su versato</t>
  </si>
  <si>
    <t xml:space="preserve">⚠ AVVERTENZE IMPORTANTI:</t>
  </si>
  <si>
    <t xml:space="preserve">• Il rendimento 0.65%/mese (~8% annuo) è una STIMA basata sul backtest PF 1.19. I risultati reali varieranno.</t>
  </si>
  <si>
    <t xml:space="preserve">• I mesi con perdite sono normali — il backtest mostra WR 60%, quindi 4 mesi su 10 saranno negativi.</t>
  </si>
  <si>
    <t xml:space="preserve">• Max Drawdown storico: 9-18%. Preparati a periodi di -10% o più sul capitale.</t>
  </si>
  <si>
    <t xml:space="preserve">• Le tasse al 26% si applicano solo sulle plusvalenze REALIZZATE. Trade Republic le gestisce automaticamente.</t>
  </si>
  <si>
    <t xml:space="preserve">• Modifica le celle blu nei parametri (B5:B7) per simulare scenari diversi.</t>
  </si>
  <si>
    <t xml:space="preserve">DSS TRADING SYSTEM — Proiezione SOLO Trading (senza versamenti aggiuntivi)</t>
  </si>
  <si>
    <t xml:space="preserve">Quanto rende il sistema con solo il capitale iniziale, senza aggiungere nulla</t>
  </si>
  <si>
    <t xml:space="preserve">PARAMETRI</t>
  </si>
  <si>
    <t xml:space="preserve">Modifica questa cella per simulare scenari</t>
  </si>
  <si>
    <t xml:space="preserve">1.000 €</t>
  </si>
  <si>
    <t xml:space="preserve">5.000 €</t>
  </si>
  <si>
    <t xml:space="preserve">10.000 €</t>
  </si>
  <si>
    <t xml:space="preserve">15.000 €</t>
  </si>
  <si>
    <t xml:space="preserve">25.000 €</t>
  </si>
  <si>
    <t xml:space="preserve">50.000 €</t>
  </si>
  <si>
    <t xml:space="preserve">Capitale</t>
  </si>
  <si>
    <t xml:space="preserve">RIEPILOGO 3 ANNI</t>
  </si>
  <si>
    <t xml:space="preserve">Capitale iniziale</t>
  </si>
  <si>
    <t xml:space="preserve">Profitto lordo</t>
  </si>
  <si>
    <t xml:space="preserve">Profitto netto</t>
  </si>
  <si>
    <t xml:space="preserve">Rendimento % totale</t>
  </si>
  <si>
    <t xml:space="preserve">CONFRONTO SCENARI — Cosa succede se il rendimento è diverso?</t>
  </si>
  <si>
    <t xml:space="preserve">Con €1.000 iniziali + €1.000/mese di versamento | 36 mesi</t>
  </si>
  <si>
    <t xml:space="preserve">Scenario</t>
  </si>
  <si>
    <t xml:space="preserve">Rend./mese</t>
  </si>
  <si>
    <t xml:space="preserve">Capitale 12m</t>
  </si>
  <si>
    <t xml:space="preserve">Capitale 24m</t>
  </si>
  <si>
    <t xml:space="preserve">Capitale 36m</t>
  </si>
  <si>
    <t xml:space="preserve">Profitto lordo 3Y</t>
  </si>
  <si>
    <t xml:space="preserve">Profitto netto 3Y</t>
  </si>
  <si>
    <t xml:space="preserve">Note</t>
  </si>
  <si>
    <t xml:space="preserve">Sistema va male</t>
  </si>
  <si>
    <t xml:space="preserve">PF ~1.05, appena sopra breakeven</t>
  </si>
  <si>
    <t xml:space="preserve">Conservativo</t>
  </si>
  <si>
    <t xml:space="preserve">PF ~1.10, edge modesto</t>
  </si>
  <si>
    <t xml:space="preserve">Base (backtest)</t>
  </si>
  <si>
    <t xml:space="preserve">PF 1.19, come da backtest</t>
  </si>
  <si>
    <t xml:space="preserve">Ottimistico</t>
  </si>
  <si>
    <t xml:space="preserve">PF ~1.30, sistema performa bene</t>
  </si>
  <si>
    <t xml:space="preserve">Molto ottimistico</t>
  </si>
  <si>
    <t xml:space="preserve">PF ~1.50, top performer</t>
  </si>
  <si>
    <t xml:space="preserve">S&amp;P 500 passivo</t>
  </si>
  <si>
    <t xml:space="preserve">Media storica ~10%/anno, per confronto</t>
  </si>
  <si>
    <t xml:space="preserve">💡 NOTA: Tutti i calcoli assumono rendimento COSTANTE ogni mese. In realtà avrai mesi positivi e negativi. Questi numeri rappresentano la MEDIA attesa su 3 anni, non una garanzia mese per mese.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</si>
</sst>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#,##0&quot; €&quot;"/>
    <numFmt numFmtId="167" formatCode="0.0%"/>
    <numFmt numFmtId="168" formatCode="#,##0.00&quot; €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B0B0B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B2A4A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2A4A"/>
      <name val="Arial"/>
      <family val="0"/>
      <charset val="1"/>
    </font>
    <font>
      <b val="true"/>
      <sz val="9"/>
      <color rgb="FF54823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1"/>
      <color rgb="FF548235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9"/>
      <color rgb="FFC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i val="true"/>
      <sz val="10"/>
      <color rgb="FFED7D3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A3F6A"/>
        <bgColor rgb="FF2E5090"/>
      </patternFill>
    </fill>
    <fill>
      <patternFill patternType="solid">
        <fgColor rgb="FF2E5090"/>
        <bgColor rgb="FF2A3F6A"/>
      </patternFill>
    </fill>
    <fill>
      <patternFill patternType="solid">
        <fgColor rgb="FFFFF2CC"/>
        <bgColor rgb="FFFCE4CC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548235"/>
        <bgColor rgb="FF3D6B2E"/>
      </patternFill>
    </fill>
    <fill>
      <patternFill patternType="solid">
        <fgColor rgb="FF3D6B2E"/>
        <bgColor rgb="FF548235"/>
      </patternFill>
    </fill>
    <fill>
      <patternFill patternType="solid">
        <fgColor rgb="FFED7D31"/>
        <bgColor rgb="FFFF8080"/>
      </patternFill>
    </fill>
    <fill>
      <patternFill patternType="solid">
        <fgColor rgb="FFB35E1E"/>
        <bgColor rgb="FFED7D31"/>
      </patternFill>
    </fill>
    <fill>
      <patternFill patternType="solid">
        <fgColor rgb="FFFCE4CC"/>
        <bgColor rgb="FFFFF2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B2A4A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ED7D31"/>
      </left>
      <right style="medium">
        <color rgb="FFED7D31"/>
      </right>
      <top style="medium">
        <color rgb="FFED7D31"/>
      </top>
      <bottom style="medium">
        <color rgb="FFED7D3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6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0" fillId="9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0" fillId="7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1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3D6B2E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2E509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CC"/>
      <rgbColor rgb="FF3366FF"/>
      <rgbColor rgb="FF33CCCC"/>
      <rgbColor rgb="FF99CC00"/>
      <rgbColor rgb="FFFFCC00"/>
      <rgbColor rgb="FFFF9900"/>
      <rgbColor rgb="FFED7D31"/>
      <rgbColor rgb="FF666666"/>
      <rgbColor rgb="FFB0B0B0"/>
      <rgbColor rgb="FF003366"/>
      <rgbColor rgb="FF339966"/>
      <rgbColor rgb="FF003300"/>
      <rgbColor rgb="FF333300"/>
      <rgbColor rgb="FFB35E1E"/>
      <rgbColor rgb="FF993366"/>
      <rgbColor rgb="FF2A3F6A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090"/>
    <pageSetUpPr fitToPage="true"/>
  </sheetPr>
  <dimension ref="A1:N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13" min="4" style="0" width="1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0.0065</v>
      </c>
      <c r="C5" s="6" t="s">
        <v>4</v>
      </c>
    </row>
    <row r="6" customFormat="false" ht="15" hidden="false" customHeight="false" outlineLevel="0" collapsed="false">
      <c r="A6" s="4" t="s">
        <v>5</v>
      </c>
      <c r="B6" s="7" t="n">
        <v>1000</v>
      </c>
      <c r="C6" s="6" t="s">
        <v>6</v>
      </c>
    </row>
    <row r="7" customFormat="false" ht="15" hidden="false" customHeight="false" outlineLevel="0" collapsed="false">
      <c r="A7" s="4" t="s">
        <v>7</v>
      </c>
      <c r="B7" s="8" t="n">
        <v>0.26</v>
      </c>
      <c r="C7" s="6" t="s">
        <v>8</v>
      </c>
    </row>
    <row r="10" customFormat="false" ht="15" hidden="false" customHeight="false" outlineLevel="0" collapsed="false">
      <c r="A10" s="9"/>
      <c r="B10" s="10" t="s">
        <v>9</v>
      </c>
      <c r="C10" s="10"/>
      <c r="D10" s="10" t="s">
        <v>10</v>
      </c>
      <c r="E10" s="10"/>
      <c r="F10" s="10" t="s">
        <v>11</v>
      </c>
      <c r="G10" s="10"/>
      <c r="H10" s="10" t="s">
        <v>12</v>
      </c>
      <c r="I10" s="10"/>
      <c r="J10" s="10" t="s">
        <v>13</v>
      </c>
      <c r="K10" s="10"/>
      <c r="L10" s="10" t="s">
        <v>14</v>
      </c>
      <c r="M10" s="10"/>
    </row>
    <row r="11" customFormat="false" ht="15" hidden="false" customHeight="false" outlineLevel="0" collapsed="false">
      <c r="A11" s="11" t="s">
        <v>15</v>
      </c>
      <c r="B11" s="12" t="s">
        <v>16</v>
      </c>
      <c r="C11" s="13" t="s">
        <v>17</v>
      </c>
      <c r="D11" s="12" t="s">
        <v>16</v>
      </c>
      <c r="E11" s="13" t="s">
        <v>17</v>
      </c>
      <c r="F11" s="12" t="s">
        <v>16</v>
      </c>
      <c r="G11" s="13" t="s">
        <v>17</v>
      </c>
      <c r="H11" s="12" t="s">
        <v>16</v>
      </c>
      <c r="I11" s="13" t="s">
        <v>17</v>
      </c>
      <c r="J11" s="12" t="s">
        <v>16</v>
      </c>
      <c r="K11" s="13" t="s">
        <v>17</v>
      </c>
      <c r="L11" s="12" t="s">
        <v>16</v>
      </c>
      <c r="M11" s="13" t="s">
        <v>17</v>
      </c>
    </row>
    <row r="12" customFormat="false" ht="15" hidden="false" customHeight="false" outlineLevel="0" collapsed="false">
      <c r="A12" s="14" t="n">
        <v>0</v>
      </c>
      <c r="B12" s="15" t="n">
        <v>1000</v>
      </c>
      <c r="C12" s="16" t="n">
        <v>0</v>
      </c>
      <c r="D12" s="15" t="n">
        <v>5000</v>
      </c>
      <c r="E12" s="16" t="n">
        <v>0</v>
      </c>
      <c r="F12" s="15" t="n">
        <v>10000</v>
      </c>
      <c r="G12" s="16" t="n">
        <v>0</v>
      </c>
      <c r="H12" s="15" t="n">
        <v>15000</v>
      </c>
      <c r="I12" s="16" t="n">
        <v>0</v>
      </c>
      <c r="J12" s="15" t="n">
        <v>25000</v>
      </c>
      <c r="K12" s="16" t="n">
        <v>0</v>
      </c>
      <c r="L12" s="15" t="n">
        <v>50000</v>
      </c>
      <c r="M12" s="16" t="n">
        <v>0</v>
      </c>
    </row>
    <row r="13" customFormat="false" ht="15" hidden="false" customHeight="false" outlineLevel="0" collapsed="false">
      <c r="A13" s="17" t="n">
        <v>1</v>
      </c>
      <c r="B13" s="18" t="n">
        <f aca="false">(B12+$B$6)*(1+$B$5)</f>
        <v>2013</v>
      </c>
      <c r="C13" s="19" t="n">
        <f aca="false">B13-B12-$B$6</f>
        <v>13</v>
      </c>
      <c r="D13" s="18" t="n">
        <f aca="false">(D12+$B$6)*(1+$B$5)</f>
        <v>6039</v>
      </c>
      <c r="E13" s="19" t="n">
        <f aca="false">D13-D12-$B$6</f>
        <v>39</v>
      </c>
      <c r="F13" s="18" t="n">
        <f aca="false">(F12+$B$6)*(1+$B$5)</f>
        <v>11071.5</v>
      </c>
      <c r="G13" s="19" t="n">
        <f aca="false">F13-F12-$B$6</f>
        <v>71.5</v>
      </c>
      <c r="H13" s="18" t="n">
        <f aca="false">(H12+$B$6)*(1+$B$5)</f>
        <v>16104</v>
      </c>
      <c r="I13" s="19" t="n">
        <f aca="false">H13-H12-$B$6</f>
        <v>104</v>
      </c>
      <c r="J13" s="18" t="n">
        <f aca="false">(J12+$B$6)*(1+$B$5)</f>
        <v>26169</v>
      </c>
      <c r="K13" s="19" t="n">
        <f aca="false">J13-J12-$B$6</f>
        <v>169</v>
      </c>
      <c r="L13" s="18" t="n">
        <f aca="false">(L12+$B$6)*(1+$B$5)</f>
        <v>51331.5</v>
      </c>
      <c r="M13" s="19" t="n">
        <f aca="false">L13-L12-$B$6</f>
        <v>331.5</v>
      </c>
    </row>
    <row r="14" customFormat="false" ht="15" hidden="false" customHeight="false" outlineLevel="0" collapsed="false">
      <c r="A14" s="14" t="n">
        <v>2</v>
      </c>
      <c r="B14" s="15" t="n">
        <f aca="false">(B13+$B$6)*(1+$B$5)</f>
        <v>3032.5845</v>
      </c>
      <c r="C14" s="16" t="n">
        <f aca="false">B14-B13-$B$6</f>
        <v>19.5844999999999</v>
      </c>
      <c r="D14" s="15" t="n">
        <f aca="false">(D13+$B$6)*(1+$B$5)</f>
        <v>7084.7535</v>
      </c>
      <c r="E14" s="16" t="n">
        <f aca="false">D14-D13-$B$6</f>
        <v>45.7534999999998</v>
      </c>
      <c r="F14" s="15" t="n">
        <f aca="false">(F13+$B$6)*(1+$B$5)</f>
        <v>12149.96475</v>
      </c>
      <c r="G14" s="16" t="n">
        <f aca="false">F14-F13-$B$6</f>
        <v>78.4647499999992</v>
      </c>
      <c r="H14" s="15" t="n">
        <f aca="false">(H13+$B$6)*(1+$B$5)</f>
        <v>17215.176</v>
      </c>
      <c r="I14" s="16" t="n">
        <f aca="false">H14-H13-$B$6</f>
        <v>111.175999999999</v>
      </c>
      <c r="J14" s="15" t="n">
        <f aca="false">(J13+$B$6)*(1+$B$5)</f>
        <v>27345.5985</v>
      </c>
      <c r="K14" s="16" t="n">
        <f aca="false">J14-J13-$B$6</f>
        <v>176.5985</v>
      </c>
      <c r="L14" s="15" t="n">
        <f aca="false">(L13+$B$6)*(1+$B$5)</f>
        <v>52671.65475</v>
      </c>
      <c r="M14" s="16" t="n">
        <f aca="false">L14-L13-$B$6</f>
        <v>340.154749999994</v>
      </c>
    </row>
    <row r="15" customFormat="false" ht="15" hidden="false" customHeight="false" outlineLevel="0" collapsed="false">
      <c r="A15" s="17" t="n">
        <v>3</v>
      </c>
      <c r="B15" s="18" t="n">
        <f aca="false">(B14+$B$6)*(1+$B$5)</f>
        <v>4058.79629925</v>
      </c>
      <c r="C15" s="19" t="n">
        <f aca="false">B15-B14-$B$6</f>
        <v>26.2117992499998</v>
      </c>
      <c r="D15" s="18" t="n">
        <f aca="false">(D14+$B$6)*(1+$B$5)</f>
        <v>8137.30439775</v>
      </c>
      <c r="E15" s="19" t="n">
        <f aca="false">D15-D14-$B$6</f>
        <v>52.5508977499994</v>
      </c>
      <c r="F15" s="18" t="n">
        <f aca="false">(F14+$B$6)*(1+$B$5)</f>
        <v>13235.439520875</v>
      </c>
      <c r="G15" s="19" t="n">
        <f aca="false">F15-F14-$B$6</f>
        <v>85.4747708750001</v>
      </c>
      <c r="H15" s="18" t="n">
        <f aca="false">(H14+$B$6)*(1+$B$5)</f>
        <v>18333.574644</v>
      </c>
      <c r="I15" s="19" t="n">
        <f aca="false">H15-H14-$B$6</f>
        <v>118.398644000001</v>
      </c>
      <c r="J15" s="18" t="n">
        <f aca="false">(J14+$B$6)*(1+$B$5)</f>
        <v>28529.84489025</v>
      </c>
      <c r="K15" s="19" t="n">
        <f aca="false">J15-J14-$B$6</f>
        <v>184.246390249999</v>
      </c>
      <c r="L15" s="18" t="n">
        <f aca="false">(L14+$B$6)*(1+$B$5)</f>
        <v>54020.520505875</v>
      </c>
      <c r="M15" s="19" t="n">
        <f aca="false">L15-L14-$B$6</f>
        <v>348.865755874998</v>
      </c>
    </row>
    <row r="16" customFormat="false" ht="15" hidden="false" customHeight="false" outlineLevel="0" collapsed="false">
      <c r="A16" s="14" t="n">
        <v>4</v>
      </c>
      <c r="B16" s="15" t="n">
        <f aca="false">(B15+$B$6)*(1+$B$5)</f>
        <v>5091.67847519512</v>
      </c>
      <c r="C16" s="16" t="n">
        <f aca="false">B16-B15-$B$6</f>
        <v>32.8821759451248</v>
      </c>
      <c r="D16" s="15" t="n">
        <f aca="false">(D15+$B$6)*(1+$B$5)</f>
        <v>9196.69687633537</v>
      </c>
      <c r="E16" s="16" t="n">
        <f aca="false">D16-D15-$B$6</f>
        <v>59.3924785853733</v>
      </c>
      <c r="F16" s="15" t="n">
        <f aca="false">(F15+$B$6)*(1+$B$5)</f>
        <v>14327.9698777607</v>
      </c>
      <c r="G16" s="16" t="n">
        <f aca="false">F16-F15-$B$6</f>
        <v>92.5303568856871</v>
      </c>
      <c r="H16" s="15" t="n">
        <f aca="false">(H15+$B$6)*(1+$B$5)</f>
        <v>19459.242879186</v>
      </c>
      <c r="I16" s="16" t="n">
        <f aca="false">H16-H15-$B$6</f>
        <v>125.668235186</v>
      </c>
      <c r="J16" s="15" t="n">
        <f aca="false">(J15+$B$6)*(1+$B$5)</f>
        <v>29721.7888820366</v>
      </c>
      <c r="K16" s="16" t="n">
        <f aca="false">J16-J15-$B$6</f>
        <v>191.943991786622</v>
      </c>
      <c r="L16" s="15" t="n">
        <f aca="false">(L15+$B$6)*(1+$B$5)</f>
        <v>55378.1538891632</v>
      </c>
      <c r="M16" s="16" t="n">
        <f aca="false">L16-L15-$B$6</f>
        <v>357.633383288186</v>
      </c>
    </row>
    <row r="17" customFormat="false" ht="15" hidden="false" customHeight="false" outlineLevel="0" collapsed="false">
      <c r="A17" s="17" t="n">
        <v>5</v>
      </c>
      <c r="B17" s="18" t="n">
        <f aca="false">(B16+$B$6)*(1+$B$5)</f>
        <v>6131.27438528389</v>
      </c>
      <c r="C17" s="19" t="n">
        <f aca="false">B17-B16-$B$6</f>
        <v>39.5959100887676</v>
      </c>
      <c r="D17" s="18" t="n">
        <f aca="false">(D16+$B$6)*(1+$B$5)</f>
        <v>10262.9754060316</v>
      </c>
      <c r="E17" s="19" t="n">
        <f aca="false">D17-D16-$B$6</f>
        <v>66.2785296961793</v>
      </c>
      <c r="F17" s="18" t="n">
        <f aca="false">(F16+$B$6)*(1+$B$5)</f>
        <v>15427.6016819661</v>
      </c>
      <c r="G17" s="19" t="n">
        <f aca="false">F17-F16-$B$6</f>
        <v>99.6318042054445</v>
      </c>
      <c r="H17" s="18" t="n">
        <f aca="false">(H16+$B$6)*(1+$B$5)</f>
        <v>20592.2279579007</v>
      </c>
      <c r="I17" s="19" t="n">
        <f aca="false">H17-H16-$B$6</f>
        <v>132.985078714708</v>
      </c>
      <c r="J17" s="18" t="n">
        <f aca="false">(J16+$B$6)*(1+$B$5)</f>
        <v>30921.4805097699</v>
      </c>
      <c r="K17" s="19" t="n">
        <f aca="false">J17-J16-$B$6</f>
        <v>199.691627733235</v>
      </c>
      <c r="L17" s="18" t="n">
        <f aca="false">(L16+$B$6)*(1+$B$5)</f>
        <v>56744.6118894427</v>
      </c>
      <c r="M17" s="19" t="n">
        <f aca="false">L17-L16-$B$6</f>
        <v>366.458000279556</v>
      </c>
    </row>
    <row r="18" customFormat="false" ht="15" hidden="false" customHeight="false" outlineLevel="0" collapsed="false">
      <c r="A18" s="14" t="n">
        <v>6</v>
      </c>
      <c r="B18" s="15" t="n">
        <f aca="false">(B17+$B$6)*(1+$B$5)</f>
        <v>7177.62766878824</v>
      </c>
      <c r="C18" s="16" t="n">
        <f aca="false">B18-B17-$B$6</f>
        <v>46.3532835043452</v>
      </c>
      <c r="D18" s="15" t="n">
        <f aca="false">(D17+$B$6)*(1+$B$5)</f>
        <v>11336.1847461708</v>
      </c>
      <c r="E18" s="16" t="n">
        <f aca="false">D18-D17-$B$6</f>
        <v>73.2093401392049</v>
      </c>
      <c r="F18" s="15" t="n">
        <f aca="false">(F17+$B$6)*(1+$B$5)</f>
        <v>16534.3810928989</v>
      </c>
      <c r="G18" s="16" t="n">
        <f aca="false">F18-F17-$B$6</f>
        <v>106.779410932781</v>
      </c>
      <c r="H18" s="15" t="n">
        <f aca="false">(H17+$B$6)*(1+$B$5)</f>
        <v>21732.5774396271</v>
      </c>
      <c r="I18" s="16" t="n">
        <f aca="false">H18-H17-$B$6</f>
        <v>140.349481726353</v>
      </c>
      <c r="J18" s="15" t="n">
        <f aca="false">(J17+$B$6)*(1+$B$5)</f>
        <v>32128.9701330834</v>
      </c>
      <c r="K18" s="16" t="n">
        <f aca="false">J18-J17-$B$6</f>
        <v>207.489623313504</v>
      </c>
      <c r="L18" s="15" t="n">
        <f aca="false">(L17+$B$6)*(1+$B$5)</f>
        <v>58119.9518667241</v>
      </c>
      <c r="M18" s="16" t="n">
        <f aca="false">L18-L17-$B$6</f>
        <v>375.339977281372</v>
      </c>
    </row>
    <row r="19" customFormat="false" ht="15" hidden="false" customHeight="false" outlineLevel="0" collapsed="false">
      <c r="A19" s="17" t="n">
        <v>7</v>
      </c>
      <c r="B19" s="18" t="n">
        <f aca="false">(B18+$B$6)*(1+$B$5)</f>
        <v>8230.78224863536</v>
      </c>
      <c r="C19" s="19" t="n">
        <f aca="false">B19-B18-$B$6</f>
        <v>53.1545798471225</v>
      </c>
      <c r="D19" s="18" t="n">
        <f aca="false">(D18+$B$6)*(1+$B$5)</f>
        <v>12416.3699470209</v>
      </c>
      <c r="E19" s="19" t="n">
        <f aca="false">D19-D18-$B$6</f>
        <v>80.1852008501101</v>
      </c>
      <c r="F19" s="18" t="n">
        <f aca="false">(F18+$B$6)*(1+$B$5)</f>
        <v>17648.3545700028</v>
      </c>
      <c r="G19" s="19" t="n">
        <f aca="false">F19-F18-$B$6</f>
        <v>113.973477103842</v>
      </c>
      <c r="H19" s="18" t="n">
        <f aca="false">(H18+$B$6)*(1+$B$5)</f>
        <v>22880.3391929846</v>
      </c>
      <c r="I19" s="19" t="n">
        <f aca="false">H19-H18-$B$6</f>
        <v>147.761753357576</v>
      </c>
      <c r="J19" s="18" t="n">
        <f aca="false">(J18+$B$6)*(1+$B$5)</f>
        <v>33344.3084389484</v>
      </c>
      <c r="K19" s="19" t="n">
        <f aca="false">J19-J18-$B$6</f>
        <v>215.338305865047</v>
      </c>
      <c r="L19" s="18" t="n">
        <f aca="false">(L18+$B$6)*(1+$B$5)</f>
        <v>59504.2315538578</v>
      </c>
      <c r="M19" s="19" t="n">
        <f aca="false">L19-L18-$B$6</f>
        <v>384.279687133705</v>
      </c>
    </row>
    <row r="20" customFormat="false" ht="15" hidden="false" customHeight="false" outlineLevel="0" collapsed="false">
      <c r="A20" s="14" t="n">
        <v>8</v>
      </c>
      <c r="B20" s="15" t="n">
        <f aca="false">(B19+$B$6)*(1+$B$5)</f>
        <v>9290.78233325149</v>
      </c>
      <c r="C20" s="16" t="n">
        <f aca="false">B20-B19-$B$6</f>
        <v>60.0000846161292</v>
      </c>
      <c r="D20" s="15" t="n">
        <f aca="false">(D19+$B$6)*(1+$B$5)</f>
        <v>13503.5763516765</v>
      </c>
      <c r="E20" s="16" t="n">
        <f aca="false">D20-D19-$B$6</f>
        <v>87.2064046556352</v>
      </c>
      <c r="F20" s="15" t="n">
        <f aca="false">(F19+$B$6)*(1+$B$5)</f>
        <v>18769.5688747078</v>
      </c>
      <c r="G20" s="16" t="n">
        <f aca="false">F20-F19-$B$6</f>
        <v>121.214304705016</v>
      </c>
      <c r="H20" s="15" t="n">
        <f aca="false">(H19+$B$6)*(1+$B$5)</f>
        <v>24035.561397739</v>
      </c>
      <c r="I20" s="16" t="n">
        <f aca="false">H20-H19-$B$6</f>
        <v>155.222204754398</v>
      </c>
      <c r="J20" s="15" t="n">
        <f aca="false">(J19+$B$6)*(1+$B$5)</f>
        <v>34567.5464438016</v>
      </c>
      <c r="K20" s="16" t="n">
        <f aca="false">J20-J19-$B$6</f>
        <v>223.238004853163</v>
      </c>
      <c r="L20" s="15" t="n">
        <f aca="false">(L19+$B$6)*(1+$B$5)</f>
        <v>60897.5090589579</v>
      </c>
      <c r="M20" s="16" t="n">
        <f aca="false">L20-L19-$B$6</f>
        <v>393.277505100072</v>
      </c>
    </row>
    <row r="21" customFormat="false" ht="15" hidden="false" customHeight="false" outlineLevel="0" collapsed="false">
      <c r="A21" s="17" t="n">
        <v>9</v>
      </c>
      <c r="B21" s="18" t="n">
        <f aca="false">(B20+$B$6)*(1+$B$5)</f>
        <v>10357.6724184176</v>
      </c>
      <c r="C21" s="19" t="n">
        <f aca="false">B21-B20-$B$6</f>
        <v>66.8900851661347</v>
      </c>
      <c r="D21" s="18" t="n">
        <f aca="false">(D20+$B$6)*(1+$B$5)</f>
        <v>14597.8495979624</v>
      </c>
      <c r="E21" s="19" t="n">
        <f aca="false">D21-D20-$B$6</f>
        <v>94.2732462858967</v>
      </c>
      <c r="F21" s="18" t="n">
        <f aca="false">(F20+$B$6)*(1+$B$5)</f>
        <v>19898.0710723934</v>
      </c>
      <c r="G21" s="19" t="n">
        <f aca="false">F21-F20-$B$6</f>
        <v>128.502197685601</v>
      </c>
      <c r="H21" s="18" t="n">
        <f aca="false">(H20+$B$6)*(1+$B$5)</f>
        <v>25198.2925468243</v>
      </c>
      <c r="I21" s="19" t="n">
        <f aca="false">H21-H20-$B$6</f>
        <v>162.731149085303</v>
      </c>
      <c r="J21" s="18" t="n">
        <f aca="false">(J20+$B$6)*(1+$B$5)</f>
        <v>35798.7354956863</v>
      </c>
      <c r="K21" s="19" t="n">
        <f aca="false">J21-J20-$B$6</f>
        <v>231.189051884707</v>
      </c>
      <c r="L21" s="18" t="n">
        <f aca="false">(L20+$B$6)*(1+$B$5)</f>
        <v>62299.8428678411</v>
      </c>
      <c r="M21" s="19" t="n">
        <f aca="false">L21-L20-$B$6</f>
        <v>402.333808883224</v>
      </c>
    </row>
    <row r="22" customFormat="false" ht="15" hidden="false" customHeight="false" outlineLevel="0" collapsed="false">
      <c r="A22" s="14" t="n">
        <v>10</v>
      </c>
      <c r="B22" s="15" t="n">
        <f aca="false">(B21+$B$6)*(1+$B$5)</f>
        <v>11431.4972891373</v>
      </c>
      <c r="C22" s="16" t="n">
        <f aca="false">B22-B21-$B$6</f>
        <v>73.8248707197145</v>
      </c>
      <c r="D22" s="15" t="n">
        <f aca="false">(D21+$B$6)*(1+$B$5)</f>
        <v>15699.2356203492</v>
      </c>
      <c r="E22" s="16" t="n">
        <f aca="false">D22-D21-$B$6</f>
        <v>101.386022386754</v>
      </c>
      <c r="F22" s="15" t="n">
        <f aca="false">(F21+$B$6)*(1+$B$5)</f>
        <v>21033.9085343639</v>
      </c>
      <c r="G22" s="16" t="n">
        <f aca="false">F22-F21-$B$6</f>
        <v>135.837461970557</v>
      </c>
      <c r="H22" s="15" t="n">
        <f aca="false">(H21+$B$6)*(1+$B$5)</f>
        <v>26368.5814483787</v>
      </c>
      <c r="I22" s="16" t="n">
        <f aca="false">H22-H21-$B$6</f>
        <v>170.288901554355</v>
      </c>
      <c r="J22" s="15" t="n">
        <f aca="false">(J21+$B$6)*(1+$B$5)</f>
        <v>37037.9272764082</v>
      </c>
      <c r="K22" s="16" t="n">
        <f aca="false">J22-J21-$B$6</f>
        <v>239.191780721958</v>
      </c>
      <c r="L22" s="15" t="n">
        <f aca="false">(L21+$B$6)*(1+$B$5)</f>
        <v>63711.2918464821</v>
      </c>
      <c r="M22" s="16" t="n">
        <f aca="false">L22-L21-$B$6</f>
        <v>411.448978640961</v>
      </c>
    </row>
    <row r="23" customFormat="false" ht="15" hidden="false" customHeight="false" outlineLevel="0" collapsed="false">
      <c r="A23" s="17" t="n">
        <v>11</v>
      </c>
      <c r="B23" s="18" t="n">
        <f aca="false">(B22+$B$6)*(1+$B$5)</f>
        <v>12512.3020215167</v>
      </c>
      <c r="C23" s="19" t="n">
        <f aca="false">B23-B22-$B$6</f>
        <v>80.8047323793926</v>
      </c>
      <c r="D23" s="18" t="n">
        <f aca="false">(D22+$B$6)*(1+$B$5)</f>
        <v>16807.7806518814</v>
      </c>
      <c r="E23" s="19" t="n">
        <f aca="false">D23-D22-$B$6</f>
        <v>108.545031532265</v>
      </c>
      <c r="F23" s="18" t="n">
        <f aca="false">(F22+$B$6)*(1+$B$5)</f>
        <v>22177.1289398373</v>
      </c>
      <c r="G23" s="19" t="n">
        <f aca="false">F23-F22-$B$6</f>
        <v>143.220405473363</v>
      </c>
      <c r="H23" s="18" t="n">
        <f aca="false">(H22+$B$6)*(1+$B$5)</f>
        <v>27546.4772277932</v>
      </c>
      <c r="I23" s="19" t="n">
        <f aca="false">H23-H22-$B$6</f>
        <v>177.895779414459</v>
      </c>
      <c r="J23" s="18" t="n">
        <f aca="false">(J22+$B$6)*(1+$B$5)</f>
        <v>38285.1738037049</v>
      </c>
      <c r="K23" s="19" t="n">
        <f aca="false">J23-J22-$B$6</f>
        <v>247.246527296651</v>
      </c>
      <c r="L23" s="18" t="n">
        <f aca="false">(L22+$B$6)*(1+$B$5)</f>
        <v>65131.9152434842</v>
      </c>
      <c r="M23" s="19" t="n">
        <f aca="false">L23-L22-$B$6</f>
        <v>420.623397002128</v>
      </c>
    </row>
    <row r="24" customFormat="false" ht="15" hidden="false" customHeight="false" outlineLevel="0" collapsed="false">
      <c r="A24" s="20" t="n">
        <v>12</v>
      </c>
      <c r="B24" s="21" t="n">
        <f aca="false">(B23+$B$6)*(1+$B$5)</f>
        <v>13600.1319846566</v>
      </c>
      <c r="C24" s="22" t="n">
        <f aca="false">B24-B23-$B$6</f>
        <v>87.8299631398586</v>
      </c>
      <c r="D24" s="21" t="n">
        <f aca="false">(D23+$B$6)*(1+$B$5)</f>
        <v>17923.5312261186</v>
      </c>
      <c r="E24" s="22" t="n">
        <f aca="false">D24-D23-$B$6</f>
        <v>115.750574237227</v>
      </c>
      <c r="F24" s="21" t="n">
        <f aca="false">(F23+$B$6)*(1+$B$5)</f>
        <v>23327.7802779462</v>
      </c>
      <c r="G24" s="22" t="n">
        <f aca="false">F24-F23-$B$6</f>
        <v>150.651338108943</v>
      </c>
      <c r="H24" s="21" t="n">
        <f aca="false">(H23+$B$6)*(1+$B$5)</f>
        <v>28732.0293297738</v>
      </c>
      <c r="I24" s="22" t="n">
        <f aca="false">H24-H23-$B$6</f>
        <v>185.552101980655</v>
      </c>
      <c r="J24" s="21" t="n">
        <f aca="false">(J23+$B$6)*(1+$B$5)</f>
        <v>39540.527433429</v>
      </c>
      <c r="K24" s="22" t="n">
        <f aca="false">J24-J23-$B$6</f>
        <v>255.353629724079</v>
      </c>
      <c r="L24" s="21" t="n">
        <f aca="false">(L23+$B$6)*(1+$B$5)</f>
        <v>66561.7726925668</v>
      </c>
      <c r="M24" s="22" t="n">
        <f aca="false">L24-L23-$B$6</f>
        <v>429.857449082643</v>
      </c>
    </row>
    <row r="25" customFormat="false" ht="15" hidden="false" customHeight="false" outlineLevel="0" collapsed="false">
      <c r="A25" s="17" t="n">
        <v>13</v>
      </c>
      <c r="B25" s="18" t="n">
        <f aca="false">(B24+$B$6)*(1+$B$5)</f>
        <v>14695.0328425569</v>
      </c>
      <c r="C25" s="19" t="n">
        <f aca="false">B25-B24-$B$6</f>
        <v>94.9008579002675</v>
      </c>
      <c r="D25" s="18" t="n">
        <f aca="false">(D24+$B$6)*(1+$B$5)</f>
        <v>19046.5341790884</v>
      </c>
      <c r="E25" s="19" t="n">
        <f aca="false">D25-D24-$B$6</f>
        <v>123.002952969771</v>
      </c>
      <c r="F25" s="18" t="n">
        <f aca="false">(F24+$B$6)*(1+$B$5)</f>
        <v>24485.9108497529</v>
      </c>
      <c r="G25" s="19" t="n">
        <f aca="false">F25-F24-$B$6</f>
        <v>158.130571806651</v>
      </c>
      <c r="H25" s="18" t="n">
        <f aca="false">(H24+$B$6)*(1+$B$5)</f>
        <v>29925.2875204173</v>
      </c>
      <c r="I25" s="19" t="n">
        <f aca="false">H25-H24-$B$6</f>
        <v>193.25819064353</v>
      </c>
      <c r="J25" s="18" t="n">
        <f aca="false">(J24+$B$6)*(1+$B$5)</f>
        <v>40804.0408617463</v>
      </c>
      <c r="K25" s="19" t="n">
        <f aca="false">J25-J24-$B$6</f>
        <v>263.513428317288</v>
      </c>
      <c r="L25" s="18" t="n">
        <f aca="false">(L24+$B$6)*(1+$B$5)</f>
        <v>68000.9242150685</v>
      </c>
      <c r="M25" s="19" t="n">
        <f aca="false">L25-L24-$B$6</f>
        <v>439.151522501677</v>
      </c>
    </row>
    <row r="26" customFormat="false" ht="15" hidden="false" customHeight="false" outlineLevel="0" collapsed="false">
      <c r="A26" s="14" t="n">
        <v>14</v>
      </c>
      <c r="B26" s="15" t="n">
        <f aca="false">(B25+$B$6)*(1+$B$5)</f>
        <v>15797.0505560335</v>
      </c>
      <c r="C26" s="16" t="n">
        <f aca="false">B26-B25-$B$6</f>
        <v>102.017713476618</v>
      </c>
      <c r="D26" s="15" t="n">
        <f aca="false">(D25+$B$6)*(1+$B$5)</f>
        <v>20176.8366512525</v>
      </c>
      <c r="E26" s="16" t="n">
        <f aca="false">D26-D25-$B$6</f>
        <v>130.302472164072</v>
      </c>
      <c r="F26" s="15" t="n">
        <f aca="false">(F25+$B$6)*(1+$B$5)</f>
        <v>25651.5692702763</v>
      </c>
      <c r="G26" s="16" t="n">
        <f aca="false">F26-F25-$B$6</f>
        <v>165.658420523392</v>
      </c>
      <c r="H26" s="15" t="n">
        <f aca="false">(H25+$B$6)*(1+$B$5)</f>
        <v>31126.3018893</v>
      </c>
      <c r="I26" s="16" t="n">
        <f aca="false">H26-H25-$B$6</f>
        <v>201.014368882712</v>
      </c>
      <c r="J26" s="15" t="n">
        <f aca="false">(J25+$B$6)*(1+$B$5)</f>
        <v>42075.7671273476</v>
      </c>
      <c r="K26" s="16" t="n">
        <f aca="false">J26-J25-$B$6</f>
        <v>271.726265601348</v>
      </c>
      <c r="L26" s="15" t="n">
        <f aca="false">(L25+$B$6)*(1+$B$5)</f>
        <v>69449.4302224665</v>
      </c>
      <c r="M26" s="16" t="n">
        <f aca="false">L26-L25-$B$6</f>
        <v>448.50600739794</v>
      </c>
    </row>
    <row r="27" customFormat="false" ht="15" hidden="false" customHeight="false" outlineLevel="0" collapsed="false">
      <c r="A27" s="17" t="n">
        <v>15</v>
      </c>
      <c r="B27" s="18" t="n">
        <f aca="false">(B26+$B$6)*(1+$B$5)</f>
        <v>16906.2313846477</v>
      </c>
      <c r="C27" s="19" t="n">
        <f aca="false">B27-B26-$B$6</f>
        <v>109.180828614215</v>
      </c>
      <c r="D27" s="18" t="n">
        <f aca="false">(D26+$B$6)*(1+$B$5)</f>
        <v>21314.4860894856</v>
      </c>
      <c r="E27" s="19" t="n">
        <f aca="false">D27-D26-$B$6</f>
        <v>137.64943823314</v>
      </c>
      <c r="F27" s="18" t="n">
        <f aca="false">(F26+$B$6)*(1+$B$5)</f>
        <v>26824.8044705331</v>
      </c>
      <c r="G27" s="19" t="n">
        <f aca="false">F27-F26-$B$6</f>
        <v>173.235200256793</v>
      </c>
      <c r="H27" s="18" t="n">
        <f aca="false">(H26+$B$6)*(1+$B$5)</f>
        <v>32335.1228515805</v>
      </c>
      <c r="I27" s="19" t="n">
        <f aca="false">H27-H26-$B$6</f>
        <v>208.82096228045</v>
      </c>
      <c r="J27" s="18" t="n">
        <f aca="false">(J26+$B$6)*(1+$B$5)</f>
        <v>43355.7596136754</v>
      </c>
      <c r="K27" s="19" t="n">
        <f aca="false">J27-J26-$B$6</f>
        <v>279.992486327756</v>
      </c>
      <c r="L27" s="18" t="n">
        <f aca="false">(L26+$B$6)*(1+$B$5)</f>
        <v>70907.3515189125</v>
      </c>
      <c r="M27" s="19" t="n">
        <f aca="false">L27-L26-$B$6</f>
        <v>457.921296446031</v>
      </c>
    </row>
    <row r="28" customFormat="false" ht="15" hidden="false" customHeight="false" outlineLevel="0" collapsed="false">
      <c r="A28" s="14" t="n">
        <v>16</v>
      </c>
      <c r="B28" s="15" t="n">
        <f aca="false">(B27+$B$6)*(1+$B$5)</f>
        <v>18022.6218886479</v>
      </c>
      <c r="C28" s="16" t="n">
        <f aca="false">B28-B27-$B$6</f>
        <v>116.39050400021</v>
      </c>
      <c r="D28" s="15" t="n">
        <f aca="false">(D27+$B$6)*(1+$B$5)</f>
        <v>22459.5302490673</v>
      </c>
      <c r="E28" s="16" t="n">
        <f aca="false">D28-D27-$B$6</f>
        <v>145.044159581656</v>
      </c>
      <c r="F28" s="15" t="n">
        <f aca="false">(F27+$B$6)*(1+$B$5)</f>
        <v>28005.6656995915</v>
      </c>
      <c r="G28" s="16" t="n">
        <f aca="false">F28-F27-$B$6</f>
        <v>180.861229058464</v>
      </c>
      <c r="H28" s="15" t="n">
        <f aca="false">(H27+$B$6)*(1+$B$5)</f>
        <v>33551.8011501158</v>
      </c>
      <c r="I28" s="16" t="n">
        <f aca="false">H28-H27-$B$6</f>
        <v>216.678298535269</v>
      </c>
      <c r="J28" s="15" t="n">
        <f aca="false">(J27+$B$6)*(1+$B$5)</f>
        <v>44644.0720511642</v>
      </c>
      <c r="K28" s="16" t="n">
        <f aca="false">J28-J27-$B$6</f>
        <v>288.312437488887</v>
      </c>
      <c r="L28" s="15" t="n">
        <f aca="false">(L27+$B$6)*(1+$B$5)</f>
        <v>72374.7493037854</v>
      </c>
      <c r="M28" s="16" t="n">
        <f aca="false">L28-L27-$B$6</f>
        <v>467.397784872926</v>
      </c>
    </row>
    <row r="29" customFormat="false" ht="15" hidden="false" customHeight="false" outlineLevel="0" collapsed="false">
      <c r="A29" s="17" t="n">
        <v>17</v>
      </c>
      <c r="B29" s="18" t="n">
        <f aca="false">(B28+$B$6)*(1+$B$5)</f>
        <v>19146.2689309241</v>
      </c>
      <c r="C29" s="19" t="n">
        <f aca="false">B29-B28-$B$6</f>
        <v>123.64704227621</v>
      </c>
      <c r="D29" s="18" t="n">
        <f aca="false">(D28+$B$6)*(1+$B$5)</f>
        <v>23612.0171956862</v>
      </c>
      <c r="E29" s="19" t="n">
        <f aca="false">D29-D28-$B$6</f>
        <v>152.486946618938</v>
      </c>
      <c r="F29" s="18" t="n">
        <f aca="false">(F28+$B$6)*(1+$B$5)</f>
        <v>29194.2025266389</v>
      </c>
      <c r="G29" s="19" t="n">
        <f aca="false">F29-F28-$B$6</f>
        <v>188.536827047345</v>
      </c>
      <c r="H29" s="18" t="n">
        <f aca="false">(H28+$B$6)*(1+$B$5)</f>
        <v>34776.3878575915</v>
      </c>
      <c r="I29" s="19" t="n">
        <f aca="false">H29-H28-$B$6</f>
        <v>224.586707475748</v>
      </c>
      <c r="J29" s="18" t="n">
        <f aca="false">(J28+$B$6)*(1+$B$5)</f>
        <v>45940.7585194968</v>
      </c>
      <c r="K29" s="19" t="n">
        <f aca="false">J29-J28-$B$6</f>
        <v>296.686468332562</v>
      </c>
      <c r="L29" s="18" t="n">
        <f aca="false">(L28+$B$6)*(1+$B$5)</f>
        <v>73851.68517426</v>
      </c>
      <c r="M29" s="19" t="n">
        <f aca="false">L29-L28-$B$6</f>
        <v>476.935870474597</v>
      </c>
    </row>
    <row r="30" customFormat="false" ht="15" hidden="false" customHeight="false" outlineLevel="0" collapsed="false">
      <c r="A30" s="14" t="n">
        <v>18</v>
      </c>
      <c r="B30" s="15" t="n">
        <f aca="false">(B29+$B$6)*(1+$B$5)</f>
        <v>20277.2196789751</v>
      </c>
      <c r="C30" s="16" t="n">
        <f aca="false">B30-B29-$B$6</f>
        <v>130.950748051007</v>
      </c>
      <c r="D30" s="15" t="n">
        <f aca="false">(D29+$B$6)*(1+$B$5)</f>
        <v>24771.9953074582</v>
      </c>
      <c r="E30" s="16" t="n">
        <f aca="false">D30-D29-$B$6</f>
        <v>159.978111771958</v>
      </c>
      <c r="F30" s="15" t="n">
        <f aca="false">(F29+$B$6)*(1+$B$5)</f>
        <v>30390.464843062</v>
      </c>
      <c r="G30" s="16" t="n">
        <f aca="false">F30-F29-$B$6</f>
        <v>196.262316423152</v>
      </c>
      <c r="H30" s="15" t="n">
        <f aca="false">(H29+$B$6)*(1+$B$5)</f>
        <v>36008.9343786659</v>
      </c>
      <c r="I30" s="16" t="n">
        <f aca="false">H30-H29-$B$6</f>
        <v>232.546521074342</v>
      </c>
      <c r="J30" s="15" t="n">
        <f aca="false">(J29+$B$6)*(1+$B$5)</f>
        <v>47245.8734498735</v>
      </c>
      <c r="K30" s="16" t="n">
        <f aca="false">J30-J29-$B$6</f>
        <v>305.114930376723</v>
      </c>
      <c r="L30" s="15" t="n">
        <f aca="false">(L29+$B$6)*(1+$B$5)</f>
        <v>75338.2211278927</v>
      </c>
      <c r="M30" s="16" t="n">
        <f aca="false">L30-L29-$B$6</f>
        <v>486.535953632687</v>
      </c>
    </row>
    <row r="31" customFormat="false" ht="15" hidden="false" customHeight="false" outlineLevel="0" collapsed="false">
      <c r="A31" s="17" t="n">
        <v>19</v>
      </c>
      <c r="B31" s="18" t="n">
        <f aca="false">(B30+$B$6)*(1+$B$5)</f>
        <v>21415.5216068885</v>
      </c>
      <c r="C31" s="19" t="n">
        <f aca="false">B31-B30-$B$6</f>
        <v>138.301927913337</v>
      </c>
      <c r="D31" s="18" t="n">
        <f aca="false">(D30+$B$6)*(1+$B$5)</f>
        <v>25939.5132769567</v>
      </c>
      <c r="E31" s="19" t="n">
        <f aca="false">D31-D30-$B$6</f>
        <v>167.517969498476</v>
      </c>
      <c r="F31" s="18" t="n">
        <f aca="false">(F30+$B$6)*(1+$B$5)</f>
        <v>31594.5028645419</v>
      </c>
      <c r="G31" s="19" t="n">
        <f aca="false">F31-F30-$B$6</f>
        <v>204.038021479901</v>
      </c>
      <c r="H31" s="18" t="n">
        <f aca="false">(H30+$B$6)*(1+$B$5)</f>
        <v>37249.4924521272</v>
      </c>
      <c r="I31" s="19" t="n">
        <f aca="false">H31-H30-$B$6</f>
        <v>240.558073461325</v>
      </c>
      <c r="J31" s="18" t="n">
        <f aca="false">(J30+$B$6)*(1+$B$5)</f>
        <v>48559.4716272977</v>
      </c>
      <c r="K31" s="19" t="n">
        <f aca="false">J31-J30-$B$6</f>
        <v>313.598177424174</v>
      </c>
      <c r="L31" s="18" t="n">
        <f aca="false">(L30+$B$6)*(1+$B$5)</f>
        <v>76834.419565224</v>
      </c>
      <c r="M31" s="19" t="n">
        <f aca="false">L31-L30-$B$6</f>
        <v>496.198437331303</v>
      </c>
    </row>
    <row r="32" customFormat="false" ht="15" hidden="false" customHeight="false" outlineLevel="0" collapsed="false">
      <c r="A32" s="14" t="n">
        <v>20</v>
      </c>
      <c r="B32" s="15" t="n">
        <f aca="false">(B31+$B$6)*(1+$B$5)</f>
        <v>22561.2224973332</v>
      </c>
      <c r="C32" s="16" t="n">
        <f aca="false">B32-B31-$B$6</f>
        <v>145.700890444772</v>
      </c>
      <c r="D32" s="15" t="n">
        <f aca="false">(D31+$B$6)*(1+$B$5)</f>
        <v>27114.6201132569</v>
      </c>
      <c r="E32" s="16" t="n">
        <f aca="false">D32-D31-$B$6</f>
        <v>175.106836300216</v>
      </c>
      <c r="F32" s="15" t="n">
        <f aca="false">(F31+$B$6)*(1+$B$5)</f>
        <v>32806.3671331615</v>
      </c>
      <c r="G32" s="16" t="n">
        <f aca="false">F32-F31-$B$6</f>
        <v>211.864268619524</v>
      </c>
      <c r="H32" s="15" t="n">
        <f aca="false">(H31+$B$6)*(1+$B$5)</f>
        <v>38498.114153066</v>
      </c>
      <c r="I32" s="16" t="n">
        <f aca="false">H32-H31-$B$6</f>
        <v>248.621700938827</v>
      </c>
      <c r="J32" s="15" t="n">
        <f aca="false">(J31+$B$6)*(1+$B$5)</f>
        <v>49881.6081928751</v>
      </c>
      <c r="K32" s="16" t="n">
        <f aca="false">J32-J31-$B$6</f>
        <v>322.136565577435</v>
      </c>
      <c r="L32" s="15" t="n">
        <f aca="false">(L31+$B$6)*(1+$B$5)</f>
        <v>78340.343292398</v>
      </c>
      <c r="M32" s="16" t="n">
        <f aca="false">L32-L31-$B$6</f>
        <v>505.923727173955</v>
      </c>
    </row>
    <row r="33" customFormat="false" ht="15" hidden="false" customHeight="false" outlineLevel="0" collapsed="false">
      <c r="A33" s="17" t="n">
        <v>21</v>
      </c>
      <c r="B33" s="18" t="n">
        <f aca="false">(B32+$B$6)*(1+$B$5)</f>
        <v>23714.3704435659</v>
      </c>
      <c r="C33" s="19" t="n">
        <f aca="false">B33-B32-$B$6</f>
        <v>153.147946232664</v>
      </c>
      <c r="D33" s="18" t="n">
        <f aca="false">(D32+$B$6)*(1+$B$5)</f>
        <v>28297.365143993</v>
      </c>
      <c r="E33" s="19" t="n">
        <f aca="false">D33-D32-$B$6</f>
        <v>182.745030736169</v>
      </c>
      <c r="F33" s="18" t="n">
        <f aca="false">(F32+$B$6)*(1+$B$5)</f>
        <v>34026.108519527</v>
      </c>
      <c r="G33" s="19" t="n">
        <f aca="false">F33-F32-$B$6</f>
        <v>219.741386365546</v>
      </c>
      <c r="H33" s="18" t="n">
        <f aca="false">(H32+$B$6)*(1+$B$5)</f>
        <v>39754.8518950609</v>
      </c>
      <c r="I33" s="19" t="n">
        <f aca="false">H33-H32-$B$6</f>
        <v>256.737741994926</v>
      </c>
      <c r="J33" s="18" t="n">
        <f aca="false">(J32+$B$6)*(1+$B$5)</f>
        <v>51212.3386461288</v>
      </c>
      <c r="K33" s="19" t="n">
        <f aca="false">J33-J32-$B$6</f>
        <v>330.730453253687</v>
      </c>
      <c r="L33" s="18" t="n">
        <f aca="false">(L32+$B$6)*(1+$B$5)</f>
        <v>79856.0555237985</v>
      </c>
      <c r="M33" s="19" t="n">
        <f aca="false">L33-L32-$B$6</f>
        <v>515.712231400583</v>
      </c>
    </row>
    <row r="34" customFormat="false" ht="15" hidden="false" customHeight="false" outlineLevel="0" collapsed="false">
      <c r="A34" s="14" t="n">
        <v>22</v>
      </c>
      <c r="B34" s="15" t="n">
        <f aca="false">(B33+$B$6)*(1+$B$5)</f>
        <v>24875.0138514491</v>
      </c>
      <c r="C34" s="16" t="n">
        <f aca="false">B34-B33-$B$6</f>
        <v>160.643407883177</v>
      </c>
      <c r="D34" s="15" t="n">
        <f aca="false">(D33+$B$6)*(1+$B$5)</f>
        <v>29487.798017429</v>
      </c>
      <c r="E34" s="16" t="n">
        <f aca="false">D34-D33-$B$6</f>
        <v>190.432873435955</v>
      </c>
      <c r="F34" s="15" t="n">
        <f aca="false">(F33+$B$6)*(1+$B$5)</f>
        <v>35253.7782249039</v>
      </c>
      <c r="G34" s="16" t="n">
        <f aca="false">F34-F33-$B$6</f>
        <v>227.669705376924</v>
      </c>
      <c r="H34" s="15" t="n">
        <f aca="false">(H33+$B$6)*(1+$B$5)</f>
        <v>41019.7584323788</v>
      </c>
      <c r="I34" s="16" t="n">
        <f aca="false">H34-H33-$B$6</f>
        <v>264.906537317896</v>
      </c>
      <c r="J34" s="15" t="n">
        <f aca="false">(J33+$B$6)*(1+$B$5)</f>
        <v>52551.7188473287</v>
      </c>
      <c r="K34" s="16" t="n">
        <f aca="false">J34-J33-$B$6</f>
        <v>339.380201199834</v>
      </c>
      <c r="L34" s="15" t="n">
        <f aca="false">(L33+$B$6)*(1+$B$5)</f>
        <v>81381.6198847032</v>
      </c>
      <c r="M34" s="16" t="n">
        <f aca="false">L34-L33-$B$6</f>
        <v>525.564360904682</v>
      </c>
    </row>
    <row r="35" customFormat="false" ht="15" hidden="false" customHeight="false" outlineLevel="0" collapsed="false">
      <c r="A35" s="17" t="n">
        <v>23</v>
      </c>
      <c r="B35" s="18" t="n">
        <f aca="false">(B34+$B$6)*(1+$B$5)</f>
        <v>26043.2014414835</v>
      </c>
      <c r="C35" s="19" t="n">
        <f aca="false">B35-B34-$B$6</f>
        <v>168.187590034417</v>
      </c>
      <c r="D35" s="18" t="n">
        <f aca="false">(D34+$B$6)*(1+$B$5)</f>
        <v>30685.9687045423</v>
      </c>
      <c r="E35" s="19" t="n">
        <f aca="false">D35-D34-$B$6</f>
        <v>198.170687113288</v>
      </c>
      <c r="F35" s="18" t="n">
        <f aca="false">(F34+$B$6)*(1+$B$5)</f>
        <v>36489.4277833658</v>
      </c>
      <c r="G35" s="19" t="n">
        <f aca="false">F35-F34-$B$6</f>
        <v>235.649558461875</v>
      </c>
      <c r="H35" s="18" t="n">
        <f aca="false">(H34+$B$6)*(1+$B$5)</f>
        <v>42292.8868621893</v>
      </c>
      <c r="I35" s="19" t="n">
        <f aca="false">H35-H34-$B$6</f>
        <v>273.128429810458</v>
      </c>
      <c r="J35" s="18" t="n">
        <f aca="false">(J34+$B$6)*(1+$B$5)</f>
        <v>53899.8050198363</v>
      </c>
      <c r="K35" s="19" t="n">
        <f aca="false">J35-J34-$B$6</f>
        <v>348.086172507632</v>
      </c>
      <c r="L35" s="18" t="n">
        <f aca="false">(L34+$B$6)*(1+$B$5)</f>
        <v>82917.1004139538</v>
      </c>
      <c r="M35" s="19" t="n">
        <f aca="false">L35-L34-$B$6</f>
        <v>535.480529250563</v>
      </c>
    </row>
    <row r="36" customFormat="false" ht="15" hidden="false" customHeight="false" outlineLevel="0" collapsed="false">
      <c r="A36" s="20" t="n">
        <v>24</v>
      </c>
      <c r="B36" s="21" t="n">
        <f aca="false">(B35+$B$6)*(1+$B$5)</f>
        <v>27218.9822508531</v>
      </c>
      <c r="C36" s="22" t="n">
        <f aca="false">B36-B35-$B$6</f>
        <v>175.78080936964</v>
      </c>
      <c r="D36" s="21" t="n">
        <f aca="false">(D35+$B$6)*(1+$B$5)</f>
        <v>31891.9275011218</v>
      </c>
      <c r="E36" s="22" t="n">
        <f aca="false">D36-D35-$B$6</f>
        <v>205.958796579522</v>
      </c>
      <c r="F36" s="21" t="n">
        <f aca="false">(F35+$B$6)*(1+$B$5)</f>
        <v>37733.1090639577</v>
      </c>
      <c r="G36" s="22" t="n">
        <f aca="false">F36-F35-$B$6</f>
        <v>243.681280591874</v>
      </c>
      <c r="H36" s="21" t="n">
        <f aca="false">(H35+$B$6)*(1+$B$5)</f>
        <v>43574.2906267935</v>
      </c>
      <c r="I36" s="22" t="n">
        <f aca="false">H36-H35-$B$6</f>
        <v>281.403764604227</v>
      </c>
      <c r="J36" s="21" t="n">
        <f aca="false">(J35+$B$6)*(1+$B$5)</f>
        <v>55256.6537524652</v>
      </c>
      <c r="K36" s="22" t="n">
        <f aca="false">J36-J35-$B$6</f>
        <v>356.848732628932</v>
      </c>
      <c r="L36" s="21" t="n">
        <f aca="false">(L35+$B$6)*(1+$B$5)</f>
        <v>84462.5615666445</v>
      </c>
      <c r="M36" s="22" t="n">
        <f aca="false">L36-L35-$B$6</f>
        <v>545.461152690696</v>
      </c>
    </row>
    <row r="37" customFormat="false" ht="15" hidden="false" customHeight="false" outlineLevel="0" collapsed="false">
      <c r="A37" s="17" t="n">
        <v>25</v>
      </c>
      <c r="B37" s="18" t="n">
        <f aca="false">(B36+$B$6)*(1+$B$5)</f>
        <v>28402.4056354837</v>
      </c>
      <c r="C37" s="19" t="n">
        <f aca="false">B37-B36-$B$6</f>
        <v>183.423384630543</v>
      </c>
      <c r="D37" s="18" t="n">
        <f aca="false">(D36+$B$6)*(1+$B$5)</f>
        <v>33105.7250298791</v>
      </c>
      <c r="E37" s="19" t="n">
        <f aca="false">D37-D36-$B$6</f>
        <v>213.797528757292</v>
      </c>
      <c r="F37" s="18" t="n">
        <f aca="false">(F36+$B$6)*(1+$B$5)</f>
        <v>38984.8742728734</v>
      </c>
      <c r="G37" s="19" t="n">
        <f aca="false">F37-F36-$B$6</f>
        <v>251.76520891572</v>
      </c>
      <c r="H37" s="18" t="n">
        <f aca="false">(H36+$B$6)*(1+$B$5)</f>
        <v>44864.0235158677</v>
      </c>
      <c r="I37" s="19" t="n">
        <f aca="false">H37-H36-$B$6</f>
        <v>289.732889074156</v>
      </c>
      <c r="J37" s="18" t="n">
        <f aca="false">(J36+$B$6)*(1+$B$5)</f>
        <v>56622.3220018562</v>
      </c>
      <c r="K37" s="19" t="n">
        <f aca="false">J37-J36-$B$6</f>
        <v>365.668249391019</v>
      </c>
      <c r="L37" s="18" t="n">
        <f aca="false">(L36+$B$6)*(1+$B$5)</f>
        <v>86018.0682168277</v>
      </c>
      <c r="M37" s="19" t="n">
        <f aca="false">L37-L36-$B$6</f>
        <v>555.50665018319</v>
      </c>
    </row>
    <row r="38" customFormat="false" ht="15" hidden="false" customHeight="false" outlineLevel="0" collapsed="false">
      <c r="A38" s="14" t="n">
        <v>26</v>
      </c>
      <c r="B38" s="15" t="n">
        <f aca="false">(B37+$B$6)*(1+$B$5)</f>
        <v>29593.5212721143</v>
      </c>
      <c r="C38" s="16" t="n">
        <f aca="false">B38-B37-$B$6</f>
        <v>191.115636630642</v>
      </c>
      <c r="D38" s="15" t="n">
        <f aca="false">(D37+$B$6)*(1+$B$5)</f>
        <v>34327.4122425733</v>
      </c>
      <c r="E38" s="16" t="n">
        <f aca="false">D38-D37-$B$6</f>
        <v>221.687212694211</v>
      </c>
      <c r="F38" s="15" t="n">
        <f aca="false">(F37+$B$6)*(1+$B$5)</f>
        <v>40244.7759556471</v>
      </c>
      <c r="G38" s="16" t="n">
        <f aca="false">F38-F37-$B$6</f>
        <v>259.901682773678</v>
      </c>
      <c r="H38" s="15" t="n">
        <f aca="false">(H37+$B$6)*(1+$B$5)</f>
        <v>46162.1396687208</v>
      </c>
      <c r="I38" s="16" t="n">
        <f aca="false">H38-H37-$B$6</f>
        <v>298.116152853137</v>
      </c>
      <c r="J38" s="15" t="n">
        <f aca="false">(J37+$B$6)*(1+$B$5)</f>
        <v>57996.8670948683</v>
      </c>
      <c r="K38" s="16" t="n">
        <f aca="false">J38-J37-$B$6</f>
        <v>374.545093012064</v>
      </c>
      <c r="L38" s="15" t="n">
        <f aca="false">(L37+$B$6)*(1+$B$5)</f>
        <v>87583.685660237</v>
      </c>
      <c r="M38" s="16" t="n">
        <f aca="false">L38-L37-$B$6</f>
        <v>565.61744340937</v>
      </c>
    </row>
    <row r="39" customFormat="false" ht="15" hidden="false" customHeight="false" outlineLevel="0" collapsed="false">
      <c r="A39" s="17" t="n">
        <v>27</v>
      </c>
      <c r="B39" s="18" t="n">
        <f aca="false">(B38+$B$6)*(1+$B$5)</f>
        <v>30792.3791603831</v>
      </c>
      <c r="C39" s="19" t="n">
        <f aca="false">B39-B38-$B$6</f>
        <v>198.85788826874</v>
      </c>
      <c r="D39" s="18" t="n">
        <f aca="false">(D38+$B$6)*(1+$B$5)</f>
        <v>35557.04042215</v>
      </c>
      <c r="E39" s="19" t="n">
        <f aca="false">D39-D38-$B$6</f>
        <v>229.628179576728</v>
      </c>
      <c r="F39" s="18" t="n">
        <f aca="false">(F38+$B$6)*(1+$B$5)</f>
        <v>41512.8669993588</v>
      </c>
      <c r="G39" s="19" t="n">
        <f aca="false">F39-F38-$B$6</f>
        <v>268.091043711705</v>
      </c>
      <c r="H39" s="18" t="n">
        <f aca="false">(H38+$B$6)*(1+$B$5)</f>
        <v>47468.6935765675</v>
      </c>
      <c r="I39" s="19" t="n">
        <f aca="false">H39-H38-$B$6</f>
        <v>306.553907846683</v>
      </c>
      <c r="J39" s="18" t="n">
        <f aca="false">(J38+$B$6)*(1+$B$5)</f>
        <v>59380.346730985</v>
      </c>
      <c r="K39" s="19" t="n">
        <f aca="false">J39-J38-$B$6</f>
        <v>383.479636116645</v>
      </c>
      <c r="L39" s="18" t="n">
        <f aca="false">(L38+$B$6)*(1+$B$5)</f>
        <v>89159.4796170286</v>
      </c>
      <c r="M39" s="19" t="n">
        <f aca="false">L39-L38-$B$6</f>
        <v>575.793956791531</v>
      </c>
    </row>
    <row r="40" customFormat="false" ht="15" hidden="false" customHeight="false" outlineLevel="0" collapsed="false">
      <c r="A40" s="14" t="n">
        <v>28</v>
      </c>
      <c r="B40" s="15" t="n">
        <f aca="false">(B39+$B$6)*(1+$B$5)</f>
        <v>31999.0296249255</v>
      </c>
      <c r="C40" s="16" t="n">
        <f aca="false">B40-B39-$B$6</f>
        <v>206.650464542487</v>
      </c>
      <c r="D40" s="15" t="n">
        <f aca="false">(D39+$B$6)*(1+$B$5)</f>
        <v>36794.661184894</v>
      </c>
      <c r="E40" s="16" t="n">
        <f aca="false">D40-D39-$B$6</f>
        <v>237.620762743973</v>
      </c>
      <c r="F40" s="15" t="n">
        <f aca="false">(F39+$B$6)*(1+$B$5)</f>
        <v>42789.2006348546</v>
      </c>
      <c r="G40" s="16" t="n">
        <f aca="false">F40-F39-$B$6</f>
        <v>276.33363549583</v>
      </c>
      <c r="H40" s="15" t="n">
        <f aca="false">(H39+$B$6)*(1+$B$5)</f>
        <v>48783.7400848152</v>
      </c>
      <c r="I40" s="16" t="n">
        <f aca="false">H40-H39-$B$6</f>
        <v>315.046508247688</v>
      </c>
      <c r="J40" s="15" t="n">
        <f aca="false">(J39+$B$6)*(1+$B$5)</f>
        <v>60772.8189847364</v>
      </c>
      <c r="K40" s="16" t="n">
        <f aca="false">J40-J39-$B$6</f>
        <v>392.472253751403</v>
      </c>
      <c r="L40" s="15" t="n">
        <f aca="false">(L39+$B$6)*(1+$B$5)</f>
        <v>90745.5162345393</v>
      </c>
      <c r="M40" s="16" t="n">
        <f aca="false">L40-L39-$B$6</f>
        <v>586.036617510676</v>
      </c>
    </row>
    <row r="41" customFormat="false" ht="15" hidden="false" customHeight="false" outlineLevel="0" collapsed="false">
      <c r="A41" s="17" t="n">
        <v>29</v>
      </c>
      <c r="B41" s="18" t="n">
        <f aca="false">(B40+$B$6)*(1+$B$5)</f>
        <v>33213.5233174876</v>
      </c>
      <c r="C41" s="19" t="n">
        <f aca="false">B41-B40-$B$6</f>
        <v>214.49369256201</v>
      </c>
      <c r="D41" s="18" t="n">
        <f aca="false">(D40+$B$6)*(1+$B$5)</f>
        <v>38040.3264825958</v>
      </c>
      <c r="E41" s="19" t="n">
        <f aca="false">D41-D40-$B$6</f>
        <v>245.665297701809</v>
      </c>
      <c r="F41" s="18" t="n">
        <f aca="false">(F40+$B$6)*(1+$B$5)</f>
        <v>44073.8304389812</v>
      </c>
      <c r="G41" s="19" t="n">
        <f aca="false">F41-F40-$B$6</f>
        <v>284.629804126555</v>
      </c>
      <c r="H41" s="18" t="n">
        <f aca="false">(H40+$B$6)*(1+$B$5)</f>
        <v>50107.3343953665</v>
      </c>
      <c r="I41" s="19" t="n">
        <f aca="false">H41-H40-$B$6</f>
        <v>323.5943105513</v>
      </c>
      <c r="J41" s="18" t="n">
        <f aca="false">(J40+$B$6)*(1+$B$5)</f>
        <v>62174.3423081371</v>
      </c>
      <c r="K41" s="19" t="n">
        <f aca="false">J41-J40-$B$6</f>
        <v>401.523323400783</v>
      </c>
      <c r="L41" s="18" t="n">
        <f aca="false">(L40+$B$6)*(1+$B$5)</f>
        <v>92341.8620900638</v>
      </c>
      <c r="M41" s="19" t="n">
        <f aca="false">L41-L40-$B$6</f>
        <v>596.345855524502</v>
      </c>
    </row>
    <row r="42" customFormat="false" ht="15" hidden="false" customHeight="false" outlineLevel="0" collapsed="false">
      <c r="A42" s="14" t="n">
        <v>30</v>
      </c>
      <c r="B42" s="15" t="n">
        <f aca="false">(B41+$B$6)*(1+$B$5)</f>
        <v>34435.9112190512</v>
      </c>
      <c r="C42" s="16" t="n">
        <f aca="false">B42-B41-$B$6</f>
        <v>222.38790156367</v>
      </c>
      <c r="D42" s="15" t="n">
        <f aca="false">(D41+$B$6)*(1+$B$5)</f>
        <v>39294.0886047327</v>
      </c>
      <c r="E42" s="16" t="n">
        <f aca="false">D42-D41-$B$6</f>
        <v>253.762122136868</v>
      </c>
      <c r="F42" s="15" t="n">
        <f aca="false">(F41+$B$6)*(1+$B$5)</f>
        <v>45366.8103368345</v>
      </c>
      <c r="G42" s="16" t="n">
        <f aca="false">F42-F41-$B$6</f>
        <v>292.979897853373</v>
      </c>
      <c r="H42" s="15" t="n">
        <f aca="false">(H41+$B$6)*(1+$B$5)</f>
        <v>51439.5320689364</v>
      </c>
      <c r="I42" s="16" t="n">
        <f aca="false">H42-H41-$B$6</f>
        <v>332.197673569877</v>
      </c>
      <c r="J42" s="15" t="n">
        <f aca="false">(J41+$B$6)*(1+$B$5)</f>
        <v>63584.97553314</v>
      </c>
      <c r="K42" s="16" t="n">
        <f aca="false">J42-J41-$B$6</f>
        <v>410.633225002886</v>
      </c>
      <c r="L42" s="15" t="n">
        <f aca="false">(L41+$B$6)*(1+$B$5)</f>
        <v>93948.5841936492</v>
      </c>
      <c r="M42" s="16" t="n">
        <f aca="false">L42-L41-$B$6</f>
        <v>606.722103585416</v>
      </c>
    </row>
    <row r="43" customFormat="false" ht="15" hidden="false" customHeight="false" outlineLevel="0" collapsed="false">
      <c r="A43" s="17" t="n">
        <v>31</v>
      </c>
      <c r="B43" s="18" t="n">
        <f aca="false">(B42+$B$6)*(1+$B$5)</f>
        <v>35666.2446419751</v>
      </c>
      <c r="C43" s="19" t="n">
        <f aca="false">B43-B42-$B$6</f>
        <v>230.333422923832</v>
      </c>
      <c r="D43" s="18" t="n">
        <f aca="false">(D42+$B$6)*(1+$B$5)</f>
        <v>40556.0001806635</v>
      </c>
      <c r="E43" s="19" t="n">
        <f aca="false">D43-D42-$B$6</f>
        <v>261.911575930761</v>
      </c>
      <c r="F43" s="18" t="n">
        <f aca="false">(F42+$B$6)*(1+$B$5)</f>
        <v>46668.194604024</v>
      </c>
      <c r="G43" s="19" t="n">
        <f aca="false">F43-F42-$B$6</f>
        <v>301.384267189424</v>
      </c>
      <c r="H43" s="18" t="n">
        <f aca="false">(H42+$B$6)*(1+$B$5)</f>
        <v>52780.3890273844</v>
      </c>
      <c r="I43" s="19" t="n">
        <f aca="false">H43-H42-$B$6</f>
        <v>340.856958448087</v>
      </c>
      <c r="J43" s="18" t="n">
        <f aca="false">(J42+$B$6)*(1+$B$5)</f>
        <v>65004.7778741054</v>
      </c>
      <c r="K43" s="19" t="n">
        <f aca="false">J43-J42-$B$6</f>
        <v>419.802340965405</v>
      </c>
      <c r="L43" s="18" t="n">
        <f aca="false">(L42+$B$6)*(1+$B$5)</f>
        <v>95565.7499909079</v>
      </c>
      <c r="M43" s="19" t="n">
        <f aca="false">L43-L42-$B$6</f>
        <v>617.165797258713</v>
      </c>
    </row>
    <row r="44" customFormat="false" ht="15" hidden="false" customHeight="false" outlineLevel="0" collapsed="false">
      <c r="A44" s="14" t="n">
        <v>32</v>
      </c>
      <c r="B44" s="15" t="n">
        <f aca="false">(B43+$B$6)*(1+$B$5)</f>
        <v>36904.5752321479</v>
      </c>
      <c r="C44" s="16" t="n">
        <f aca="false">B44-B43-$B$6</f>
        <v>238.330590172838</v>
      </c>
      <c r="D44" s="15" t="n">
        <f aca="false">(D43+$B$6)*(1+$B$5)</f>
        <v>41826.1141818378</v>
      </c>
      <c r="E44" s="16" t="n">
        <f aca="false">D44-D43-$B$6</f>
        <v>270.114001174312</v>
      </c>
      <c r="F44" s="15" t="n">
        <f aca="false">(F43+$B$6)*(1+$B$5)</f>
        <v>47978.0378689501</v>
      </c>
      <c r="G44" s="16" t="n">
        <f aca="false">F44-F43-$B$6</f>
        <v>309.843264926152</v>
      </c>
      <c r="H44" s="15" t="n">
        <f aca="false">(H43+$B$6)*(1+$B$5)</f>
        <v>54129.9615560624</v>
      </c>
      <c r="I44" s="16" t="n">
        <f aca="false">H44-H43-$B$6</f>
        <v>349.572528678</v>
      </c>
      <c r="J44" s="15" t="n">
        <f aca="false">(J43+$B$6)*(1+$B$5)</f>
        <v>66433.8089302871</v>
      </c>
      <c r="K44" s="16" t="n">
        <f aca="false">J44-J43-$B$6</f>
        <v>429.031056181695</v>
      </c>
      <c r="L44" s="15" t="n">
        <f aca="false">(L43+$B$6)*(1+$B$5)</f>
        <v>97193.4273658488</v>
      </c>
      <c r="M44" s="16" t="n">
        <f aca="false">L44-L43-$B$6</f>
        <v>627.677374940889</v>
      </c>
    </row>
    <row r="45" customFormat="false" ht="15" hidden="false" customHeight="false" outlineLevel="0" collapsed="false">
      <c r="A45" s="17" t="n">
        <v>33</v>
      </c>
      <c r="B45" s="18" t="n">
        <f aca="false">(B44+$B$6)*(1+$B$5)</f>
        <v>38150.9549711569</v>
      </c>
      <c r="C45" s="19" t="n">
        <f aca="false">B45-B44-$B$6</f>
        <v>246.37973900896</v>
      </c>
      <c r="D45" s="18" t="n">
        <f aca="false">(D44+$B$6)*(1+$B$5)</f>
        <v>43104.4839240197</v>
      </c>
      <c r="E45" s="19" t="n">
        <f aca="false">D45-D44-$B$6</f>
        <v>278.369742181945</v>
      </c>
      <c r="F45" s="18" t="n">
        <f aca="false">(F44+$B$6)*(1+$B$5)</f>
        <v>49296.3951150983</v>
      </c>
      <c r="G45" s="19" t="n">
        <f aca="false">F45-F44-$B$6</f>
        <v>318.357246148174</v>
      </c>
      <c r="H45" s="18" t="n">
        <f aca="false">(H44+$B$6)*(1+$B$5)</f>
        <v>55488.3063061769</v>
      </c>
      <c r="I45" s="19" t="n">
        <f aca="false">H45-H44-$B$6</f>
        <v>358.344750114404</v>
      </c>
      <c r="J45" s="18" t="n">
        <f aca="false">(J44+$B$6)*(1+$B$5)</f>
        <v>67872.128688334</v>
      </c>
      <c r="K45" s="19" t="n">
        <f aca="false">J45-J44-$B$6</f>
        <v>438.31975804687</v>
      </c>
      <c r="L45" s="18" t="n">
        <f aca="false">(L44+$B$6)*(1+$B$5)</f>
        <v>98831.6846437268</v>
      </c>
      <c r="M45" s="19" t="n">
        <f aca="false">L45-L44-$B$6</f>
        <v>638.257277878016</v>
      </c>
    </row>
    <row r="46" customFormat="false" ht="15" hidden="false" customHeight="false" outlineLevel="0" collapsed="false">
      <c r="A46" s="14" t="n">
        <v>34</v>
      </c>
      <c r="B46" s="15" t="n">
        <f aca="false">(B45+$B$6)*(1+$B$5)</f>
        <v>39405.4361784694</v>
      </c>
      <c r="C46" s="16" t="n">
        <f aca="false">B46-B45-$B$6</f>
        <v>254.481207312514</v>
      </c>
      <c r="D46" s="15" t="n">
        <f aca="false">(D45+$B$6)*(1+$B$5)</f>
        <v>44391.1630695258</v>
      </c>
      <c r="E46" s="16" t="n">
        <f aca="false">D46-D45-$B$6</f>
        <v>286.679145506125</v>
      </c>
      <c r="F46" s="15" t="n">
        <f aca="false">(F45+$B$6)*(1+$B$5)</f>
        <v>50623.3216833464</v>
      </c>
      <c r="G46" s="16" t="n">
        <f aca="false">F46-F45-$B$6</f>
        <v>326.926568248135</v>
      </c>
      <c r="H46" s="15" t="n">
        <f aca="false">(H45+$B$6)*(1+$B$5)</f>
        <v>56855.480297167</v>
      </c>
      <c r="I46" s="16" t="n">
        <f aca="false">H46-H45-$B$6</f>
        <v>367.173990990144</v>
      </c>
      <c r="J46" s="15" t="n">
        <f aca="false">(J45+$B$6)*(1+$B$5)</f>
        <v>69319.7975248082</v>
      </c>
      <c r="K46" s="16" t="n">
        <f aca="false">J46-J45-$B$6</f>
        <v>447.668836474171</v>
      </c>
      <c r="L46" s="15" t="n">
        <f aca="false">(L45+$B$6)*(1+$B$5)</f>
        <v>100480.590593911</v>
      </c>
      <c r="M46" s="16" t="n">
        <f aca="false">L46-L45-$B$6</f>
        <v>648.905950184213</v>
      </c>
    </row>
    <row r="47" customFormat="false" ht="15" hidden="false" customHeight="false" outlineLevel="0" collapsed="false">
      <c r="A47" s="17" t="n">
        <v>35</v>
      </c>
      <c r="B47" s="18" t="n">
        <f aca="false">(B46+$B$6)*(1+$B$5)</f>
        <v>40668.0715136294</v>
      </c>
      <c r="C47" s="19" t="n">
        <f aca="false">B47-B46-$B$6</f>
        <v>262.635335160048</v>
      </c>
      <c r="D47" s="18" t="n">
        <f aca="false">(D46+$B$6)*(1+$B$5)</f>
        <v>45686.2056294777</v>
      </c>
      <c r="E47" s="19" t="n">
        <f aca="false">D47-D46-$B$6</f>
        <v>295.042559951915</v>
      </c>
      <c r="F47" s="18" t="n">
        <f aca="false">(F46+$B$6)*(1+$B$5)</f>
        <v>51958.8732742882</v>
      </c>
      <c r="G47" s="19" t="n">
        <f aca="false">F47-F46-$B$6</f>
        <v>335.551590941752</v>
      </c>
      <c r="H47" s="18" t="n">
        <f aca="false">(H46+$B$6)*(1+$B$5)</f>
        <v>58231.5409190986</v>
      </c>
      <c r="I47" s="19" t="n">
        <f aca="false">H47-H46-$B$6</f>
        <v>376.060621931581</v>
      </c>
      <c r="J47" s="18" t="n">
        <f aca="false">(J46+$B$6)*(1+$B$5)</f>
        <v>70776.8762087194</v>
      </c>
      <c r="K47" s="19" t="n">
        <f aca="false">J47-J46-$B$6</f>
        <v>457.078683911255</v>
      </c>
      <c r="L47" s="18" t="n">
        <f aca="false">(L46+$B$6)*(1+$B$5)</f>
        <v>102140.214432771</v>
      </c>
      <c r="M47" s="19" t="n">
        <f aca="false">L47-L46-$B$6</f>
        <v>659.623838860411</v>
      </c>
    </row>
    <row r="48" customFormat="false" ht="15" hidden="false" customHeight="false" outlineLevel="0" collapsed="false">
      <c r="A48" s="20" t="n">
        <v>36</v>
      </c>
      <c r="B48" s="21" t="n">
        <f aca="false">(B47+$B$6)*(1+$B$5)</f>
        <v>41938.913978468</v>
      </c>
      <c r="C48" s="22" t="n">
        <f aca="false">B48-B47-$B$6</f>
        <v>270.842464838592</v>
      </c>
      <c r="D48" s="21" t="n">
        <f aca="false">(D47+$B$6)*(1+$B$5)</f>
        <v>46989.6659660694</v>
      </c>
      <c r="E48" s="22" t="n">
        <f aca="false">D48-D47-$B$6</f>
        <v>303.460336591605</v>
      </c>
      <c r="F48" s="21" t="n">
        <f aca="false">(F47+$B$6)*(1+$B$5)</f>
        <v>53303.105950571</v>
      </c>
      <c r="G48" s="22" t="n">
        <f aca="false">F48-F47-$B$6</f>
        <v>344.232676282867</v>
      </c>
      <c r="H48" s="21" t="n">
        <f aca="false">(H47+$B$6)*(1+$B$5)</f>
        <v>59616.5459350727</v>
      </c>
      <c r="I48" s="22" t="n">
        <f aca="false">H48-H47-$B$6</f>
        <v>385.005015974137</v>
      </c>
      <c r="J48" s="21" t="n">
        <f aca="false">(J47+$B$6)*(1+$B$5)</f>
        <v>72243.4259040761</v>
      </c>
      <c r="K48" s="22" t="n">
        <f aca="false">J48-J47-$B$6</f>
        <v>466.549695356676</v>
      </c>
      <c r="L48" s="21" t="n">
        <f aca="false">(L47+$B$6)*(1+$B$5)</f>
        <v>103810.625826584</v>
      </c>
      <c r="M48" s="22" t="n">
        <f aca="false">L48-L47-$B$6</f>
        <v>670.411393813003</v>
      </c>
    </row>
    <row r="50" customFormat="false" ht="15" hidden="false" customHeight="false" outlineLevel="0" collapsed="false">
      <c r="A50" s="23" t="s">
        <v>18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</row>
    <row r="51" customFormat="false" ht="15" hidden="false" customHeight="false" outlineLevel="0" collapsed="false">
      <c r="A51" s="24" t="s">
        <v>19</v>
      </c>
      <c r="B51" s="25" t="n">
        <f aca="false">1000+$B$6*36</f>
        <v>37000</v>
      </c>
      <c r="C51" s="25"/>
      <c r="D51" s="25" t="n">
        <f aca="false">5000+$B$6*36</f>
        <v>41000</v>
      </c>
      <c r="E51" s="25"/>
      <c r="F51" s="25" t="n">
        <f aca="false">10000+$B$6*36</f>
        <v>46000</v>
      </c>
      <c r="G51" s="25"/>
      <c r="H51" s="25" t="n">
        <f aca="false">15000+$B$6*36</f>
        <v>51000</v>
      </c>
      <c r="I51" s="25"/>
      <c r="J51" s="25" t="n">
        <f aca="false">25000+$B$6*36</f>
        <v>61000</v>
      </c>
      <c r="K51" s="25"/>
      <c r="L51" s="25" t="n">
        <f aca="false">50000+$B$6*36</f>
        <v>86000</v>
      </c>
      <c r="M51" s="25"/>
    </row>
    <row r="52" customFormat="false" ht="15" hidden="false" customHeight="false" outlineLevel="0" collapsed="false">
      <c r="A52" s="26" t="s">
        <v>20</v>
      </c>
      <c r="B52" s="27" t="n">
        <f aca="false">B48</f>
        <v>41938.913978468</v>
      </c>
      <c r="C52" s="27"/>
      <c r="D52" s="27" t="n">
        <f aca="false">D48</f>
        <v>46989.6659660694</v>
      </c>
      <c r="E52" s="27"/>
      <c r="F52" s="27" t="n">
        <f aca="false">F48</f>
        <v>53303.105950571</v>
      </c>
      <c r="G52" s="27"/>
      <c r="H52" s="27" t="n">
        <f aca="false">H48</f>
        <v>59616.5459350727</v>
      </c>
      <c r="I52" s="27"/>
      <c r="J52" s="27" t="n">
        <f aca="false">J48</f>
        <v>72243.4259040761</v>
      </c>
      <c r="K52" s="27"/>
      <c r="L52" s="27" t="n">
        <f aca="false">L48</f>
        <v>103810.625826584</v>
      </c>
      <c r="M52" s="27"/>
    </row>
    <row r="53" customFormat="false" ht="15" hidden="false" customHeight="false" outlineLevel="0" collapsed="false">
      <c r="A53" s="24" t="s">
        <v>21</v>
      </c>
      <c r="B53" s="25" t="n">
        <f aca="false">B52-B51</f>
        <v>4938.913978468</v>
      </c>
      <c r="C53" s="25"/>
      <c r="D53" s="25" t="n">
        <f aca="false">D52-D51</f>
        <v>5989.66596606935</v>
      </c>
      <c r="E53" s="25"/>
      <c r="F53" s="25" t="n">
        <f aca="false">F52-F51</f>
        <v>7303.10595057104</v>
      </c>
      <c r="G53" s="25"/>
      <c r="H53" s="25" t="n">
        <f aca="false">H52-H51</f>
        <v>8616.54593507271</v>
      </c>
      <c r="I53" s="25"/>
      <c r="J53" s="25" t="n">
        <f aca="false">J52-J51</f>
        <v>11243.4259040761</v>
      </c>
      <c r="K53" s="25"/>
      <c r="L53" s="25" t="n">
        <f aca="false">L52-L51</f>
        <v>17810.6258265844</v>
      </c>
      <c r="M53" s="25"/>
    </row>
    <row r="54" customFormat="false" ht="15" hidden="false" customHeight="false" outlineLevel="0" collapsed="false">
      <c r="A54" s="26" t="s">
        <v>22</v>
      </c>
      <c r="B54" s="27" t="n">
        <f aca="false">B53*$B$7</f>
        <v>1284.11763440168</v>
      </c>
      <c r="C54" s="27"/>
      <c r="D54" s="27" t="n">
        <f aca="false">D53*$B$7</f>
        <v>1557.31315117803</v>
      </c>
      <c r="E54" s="27"/>
      <c r="F54" s="27" t="n">
        <f aca="false">F53*$B$7</f>
        <v>1898.80754714847</v>
      </c>
      <c r="G54" s="27"/>
      <c r="H54" s="27" t="n">
        <f aca="false">H53*$B$7</f>
        <v>2240.30194311891</v>
      </c>
      <c r="I54" s="27"/>
      <c r="J54" s="27" t="n">
        <f aca="false">J53*$B$7</f>
        <v>2923.29073505978</v>
      </c>
      <c r="K54" s="27"/>
      <c r="L54" s="27" t="n">
        <f aca="false">L53*$B$7</f>
        <v>4630.76271491195</v>
      </c>
      <c r="M54" s="27"/>
    </row>
    <row r="55" customFormat="false" ht="15" hidden="false" customHeight="false" outlineLevel="0" collapsed="false">
      <c r="A55" s="24" t="s">
        <v>23</v>
      </c>
      <c r="B55" s="28" t="n">
        <f aca="false">B53-B54</f>
        <v>3654.79634406632</v>
      </c>
      <c r="C55" s="28"/>
      <c r="D55" s="28" t="n">
        <f aca="false">D53-D54</f>
        <v>4432.35281489132</v>
      </c>
      <c r="E55" s="28"/>
      <c r="F55" s="28" t="n">
        <f aca="false">F53-F54</f>
        <v>5404.29840342257</v>
      </c>
      <c r="G55" s="28"/>
      <c r="H55" s="28" t="n">
        <f aca="false">H53-H54</f>
        <v>6376.24399195381</v>
      </c>
      <c r="I55" s="28"/>
      <c r="J55" s="28" t="n">
        <f aca="false">J53-J54</f>
        <v>8320.13516901631</v>
      </c>
      <c r="K55" s="28"/>
      <c r="L55" s="28" t="n">
        <f aca="false">L53-L54</f>
        <v>13179.8631116725</v>
      </c>
      <c r="M55" s="28"/>
    </row>
    <row r="56" customFormat="false" ht="15" hidden="false" customHeight="false" outlineLevel="0" collapsed="false">
      <c r="A56" s="26" t="s">
        <v>24</v>
      </c>
      <c r="B56" s="29" t="n">
        <f aca="false">B55/B51</f>
        <v>0.09877827956936</v>
      </c>
      <c r="C56" s="29"/>
      <c r="D56" s="29" t="n">
        <f aca="false">D55/D51</f>
        <v>0.108106166216861</v>
      </c>
      <c r="E56" s="29"/>
      <c r="F56" s="29" t="n">
        <f aca="false">F55/F51</f>
        <v>0.117484747900491</v>
      </c>
      <c r="G56" s="29"/>
      <c r="H56" s="29" t="n">
        <f aca="false">H55/H51</f>
        <v>0.125024391999094</v>
      </c>
      <c r="I56" s="29"/>
      <c r="J56" s="29" t="n">
        <f aca="false">J55/J51</f>
        <v>0.136395658508464</v>
      </c>
      <c r="K56" s="29"/>
      <c r="L56" s="29" t="n">
        <f aca="false">L55/L51</f>
        <v>0.15325422222875</v>
      </c>
      <c r="M56" s="29"/>
    </row>
    <row r="58" customFormat="false" ht="15" hidden="false" customHeight="false" outlineLevel="0" collapsed="false">
      <c r="A58" s="30" t="s">
        <v>25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customFormat="false" ht="15" hidden="false" customHeight="false" outlineLevel="0" collapsed="false">
      <c r="A59" s="31" t="s">
        <v>26</v>
      </c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</row>
    <row r="60" customFormat="false" ht="15" hidden="false" customHeight="false" outlineLevel="0" collapsed="false">
      <c r="A60" s="31" t="s">
        <v>27</v>
      </c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</row>
    <row r="61" customFormat="false" ht="15" hidden="false" customHeight="false" outlineLevel="0" collapsed="false">
      <c r="A61" s="31" t="s">
        <v>28</v>
      </c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</row>
    <row r="62" customFormat="false" ht="15" hidden="false" customHeight="false" outlineLevel="0" collapsed="false">
      <c r="A62" s="31" t="s">
        <v>29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</row>
    <row r="63" customFormat="false" ht="15" hidden="false" customHeight="false" outlineLevel="0" collapsed="false">
      <c r="A63" s="31" t="s">
        <v>30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</row>
  </sheetData>
  <mergeCells count="51">
    <mergeCell ref="A1:N1"/>
    <mergeCell ref="A2:N2"/>
    <mergeCell ref="A4:C4"/>
    <mergeCell ref="B10:C10"/>
    <mergeCell ref="D10:E10"/>
    <mergeCell ref="F10:G10"/>
    <mergeCell ref="H10:I10"/>
    <mergeCell ref="J10:K10"/>
    <mergeCell ref="L10:M10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J52:K52"/>
    <mergeCell ref="L52:M52"/>
    <mergeCell ref="B53:C53"/>
    <mergeCell ref="D53:E53"/>
    <mergeCell ref="F53:G53"/>
    <mergeCell ref="H53:I53"/>
    <mergeCell ref="J53:K53"/>
    <mergeCell ref="L53:M53"/>
    <mergeCell ref="B54:C54"/>
    <mergeCell ref="D54:E54"/>
    <mergeCell ref="F54:G54"/>
    <mergeCell ref="H54:I54"/>
    <mergeCell ref="J54:K54"/>
    <mergeCell ref="L54:M54"/>
    <mergeCell ref="B55:C55"/>
    <mergeCell ref="D55:E55"/>
    <mergeCell ref="F55:G55"/>
    <mergeCell ref="H55:I55"/>
    <mergeCell ref="J55:K55"/>
    <mergeCell ref="L55:M55"/>
    <mergeCell ref="B56:C56"/>
    <mergeCell ref="D56:E56"/>
    <mergeCell ref="F56:G56"/>
    <mergeCell ref="H56:I56"/>
    <mergeCell ref="J56:K56"/>
    <mergeCell ref="L56:M56"/>
    <mergeCell ref="A58:M58"/>
    <mergeCell ref="A59:M59"/>
    <mergeCell ref="A60:M60"/>
    <mergeCell ref="A61:M61"/>
    <mergeCell ref="A62:M62"/>
    <mergeCell ref="A63:M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13" min="4" style="0" width="16"/>
  </cols>
  <sheetData>
    <row r="1" customFormat="false" ht="39.75" hidden="false" customHeight="true" outlineLevel="0" collapsed="false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</row>
    <row r="2" customFormat="false" ht="15" hidden="false" customHeight="false" outlineLevel="0" collapsed="false">
      <c r="A2" s="33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4" customFormat="false" ht="15" hidden="false" customHeight="false" outlineLevel="0" collapsed="false">
      <c r="A4" s="34" t="s">
        <v>33</v>
      </c>
      <c r="B4" s="34"/>
      <c r="C4" s="34"/>
    </row>
    <row r="5" customFormat="false" ht="15" hidden="false" customHeight="false" outlineLevel="0" collapsed="false">
      <c r="A5" s="35" t="s">
        <v>3</v>
      </c>
      <c r="B5" s="36" t="n">
        <v>0.0065</v>
      </c>
      <c r="C5" s="37" t="s">
        <v>34</v>
      </c>
    </row>
    <row r="8" customFormat="false" ht="15" hidden="false" customHeight="false" outlineLevel="0" collapsed="false">
      <c r="A8" s="9"/>
      <c r="B8" s="10" t="s">
        <v>35</v>
      </c>
      <c r="C8" s="10"/>
      <c r="D8" s="10" t="s">
        <v>36</v>
      </c>
      <c r="E8" s="10"/>
      <c r="F8" s="10" t="s">
        <v>37</v>
      </c>
      <c r="G8" s="10"/>
      <c r="H8" s="10" t="s">
        <v>38</v>
      </c>
      <c r="I8" s="10"/>
      <c r="J8" s="10" t="s">
        <v>39</v>
      </c>
      <c r="K8" s="10"/>
      <c r="L8" s="10" t="s">
        <v>40</v>
      </c>
      <c r="M8" s="10"/>
    </row>
    <row r="9" customFormat="false" ht="15" hidden="false" customHeight="false" outlineLevel="0" collapsed="false">
      <c r="A9" s="38" t="s">
        <v>15</v>
      </c>
      <c r="B9" s="39" t="s">
        <v>41</v>
      </c>
      <c r="C9" s="13" t="s">
        <v>17</v>
      </c>
      <c r="D9" s="39" t="s">
        <v>41</v>
      </c>
      <c r="E9" s="13" t="s">
        <v>17</v>
      </c>
      <c r="F9" s="39" t="s">
        <v>41</v>
      </c>
      <c r="G9" s="13" t="s">
        <v>17</v>
      </c>
      <c r="H9" s="39" t="s">
        <v>41</v>
      </c>
      <c r="I9" s="13" t="s">
        <v>17</v>
      </c>
      <c r="J9" s="39" t="s">
        <v>41</v>
      </c>
      <c r="K9" s="13" t="s">
        <v>17</v>
      </c>
      <c r="L9" s="39" t="s">
        <v>41</v>
      </c>
      <c r="M9" s="13" t="s">
        <v>17</v>
      </c>
    </row>
    <row r="10" customFormat="false" ht="15" hidden="false" customHeight="false" outlineLevel="0" collapsed="false">
      <c r="A10" s="14" t="n">
        <v>0</v>
      </c>
      <c r="B10" s="40" t="n">
        <v>1000</v>
      </c>
      <c r="C10" s="41" t="n">
        <v>0</v>
      </c>
      <c r="D10" s="40" t="n">
        <v>5000</v>
      </c>
      <c r="E10" s="41" t="n">
        <v>0</v>
      </c>
      <c r="F10" s="40" t="n">
        <v>10000</v>
      </c>
      <c r="G10" s="41" t="n">
        <v>0</v>
      </c>
      <c r="H10" s="40" t="n">
        <v>15000</v>
      </c>
      <c r="I10" s="41" t="n">
        <v>0</v>
      </c>
      <c r="J10" s="40" t="n">
        <v>25000</v>
      </c>
      <c r="K10" s="41" t="n">
        <v>0</v>
      </c>
      <c r="L10" s="40" t="n">
        <v>50000</v>
      </c>
      <c r="M10" s="41" t="n">
        <v>0</v>
      </c>
    </row>
    <row r="11" customFormat="false" ht="15" hidden="false" customHeight="false" outlineLevel="0" collapsed="false">
      <c r="A11" s="17" t="n">
        <v>1</v>
      </c>
      <c r="B11" s="42" t="n">
        <f aca="false">B10*(1+$B$5)</f>
        <v>1006.5</v>
      </c>
      <c r="C11" s="43" t="n">
        <f aca="false">B11-B10</f>
        <v>6.5</v>
      </c>
      <c r="D11" s="42" t="n">
        <f aca="false">D10*(1+$B$5)</f>
        <v>5032.5</v>
      </c>
      <c r="E11" s="43" t="n">
        <f aca="false">D11-D10</f>
        <v>32.5</v>
      </c>
      <c r="F11" s="42" t="n">
        <f aca="false">F10*(1+$B$5)</f>
        <v>10065</v>
      </c>
      <c r="G11" s="43" t="n">
        <f aca="false">F11-F10</f>
        <v>65</v>
      </c>
      <c r="H11" s="42" t="n">
        <f aca="false">H10*(1+$B$5)</f>
        <v>15097.5</v>
      </c>
      <c r="I11" s="43" t="n">
        <f aca="false">H11-H10</f>
        <v>97.5</v>
      </c>
      <c r="J11" s="42" t="n">
        <f aca="false">J10*(1+$B$5)</f>
        <v>25162.5</v>
      </c>
      <c r="K11" s="43" t="n">
        <f aca="false">J11-J10</f>
        <v>162.5</v>
      </c>
      <c r="L11" s="42" t="n">
        <f aca="false">L10*(1+$B$5)</f>
        <v>50325</v>
      </c>
      <c r="M11" s="43" t="n">
        <f aca="false">L11-L10</f>
        <v>325</v>
      </c>
    </row>
    <row r="12" customFormat="false" ht="15" hidden="false" customHeight="false" outlineLevel="0" collapsed="false">
      <c r="A12" s="14" t="n">
        <v>2</v>
      </c>
      <c r="B12" s="44" t="n">
        <f aca="false">B11*(1+$B$5)</f>
        <v>1013.04225</v>
      </c>
      <c r="C12" s="41" t="n">
        <f aca="false">B12-B11</f>
        <v>6.54224999999997</v>
      </c>
      <c r="D12" s="44" t="n">
        <f aca="false">D11*(1+$B$5)</f>
        <v>5065.21125</v>
      </c>
      <c r="E12" s="41" t="n">
        <f aca="false">D12-D11</f>
        <v>32.7112499999994</v>
      </c>
      <c r="F12" s="44" t="n">
        <f aca="false">F11*(1+$B$5)</f>
        <v>10130.4225</v>
      </c>
      <c r="G12" s="41" t="n">
        <f aca="false">F12-F11</f>
        <v>65.4224999999988</v>
      </c>
      <c r="H12" s="44" t="n">
        <f aca="false">H11*(1+$B$5)</f>
        <v>15195.63375</v>
      </c>
      <c r="I12" s="41" t="n">
        <f aca="false">H12-H11</f>
        <v>98.1337499999991</v>
      </c>
      <c r="J12" s="44" t="n">
        <f aca="false">J11*(1+$B$5)</f>
        <v>25326.05625</v>
      </c>
      <c r="K12" s="41" t="n">
        <f aca="false">J12-J11</f>
        <v>163.556249999998</v>
      </c>
      <c r="L12" s="44" t="n">
        <f aca="false">L11*(1+$B$5)</f>
        <v>50652.1125</v>
      </c>
      <c r="M12" s="41" t="n">
        <f aca="false">L12-L11</f>
        <v>327.112499999996</v>
      </c>
    </row>
    <row r="13" customFormat="false" ht="15" hidden="false" customHeight="false" outlineLevel="0" collapsed="false">
      <c r="A13" s="17" t="n">
        <v>3</v>
      </c>
      <c r="B13" s="42" t="n">
        <f aca="false">B12*(1+$B$5)</f>
        <v>1019.627024625</v>
      </c>
      <c r="C13" s="43" t="n">
        <f aca="false">B13-B12</f>
        <v>6.58477462499991</v>
      </c>
      <c r="D13" s="42" t="n">
        <f aca="false">D12*(1+$B$5)</f>
        <v>5098.135123125</v>
      </c>
      <c r="E13" s="43" t="n">
        <f aca="false">D13-D12</f>
        <v>32.9238731249998</v>
      </c>
      <c r="F13" s="42" t="n">
        <f aca="false">F12*(1+$B$5)</f>
        <v>10196.27024625</v>
      </c>
      <c r="G13" s="43" t="n">
        <f aca="false">F13-F12</f>
        <v>65.8477462499996</v>
      </c>
      <c r="H13" s="42" t="n">
        <f aca="false">H12*(1+$B$5)</f>
        <v>15294.405369375</v>
      </c>
      <c r="I13" s="43" t="n">
        <f aca="false">H13-H12</f>
        <v>98.7716193749984</v>
      </c>
      <c r="J13" s="42" t="n">
        <f aca="false">J12*(1+$B$5)</f>
        <v>25490.675615625</v>
      </c>
      <c r="K13" s="43" t="n">
        <f aca="false">J13-J12</f>
        <v>164.619365625</v>
      </c>
      <c r="L13" s="42" t="n">
        <f aca="false">L12*(1+$B$5)</f>
        <v>50981.35123125</v>
      </c>
      <c r="M13" s="43" t="n">
        <f aca="false">L13-L12</f>
        <v>329.23873125</v>
      </c>
    </row>
    <row r="14" customFormat="false" ht="15" hidden="false" customHeight="false" outlineLevel="0" collapsed="false">
      <c r="A14" s="14" t="n">
        <v>4</v>
      </c>
      <c r="B14" s="44" t="n">
        <f aca="false">B13*(1+$B$5)</f>
        <v>1026.25460028506</v>
      </c>
      <c r="C14" s="41" t="n">
        <f aca="false">B14-B13</f>
        <v>6.62757566006235</v>
      </c>
      <c r="D14" s="44" t="n">
        <f aca="false">D13*(1+$B$5)</f>
        <v>5131.27300142531</v>
      </c>
      <c r="E14" s="41" t="n">
        <f aca="false">D14-D13</f>
        <v>33.137878300312</v>
      </c>
      <c r="F14" s="44" t="n">
        <f aca="false">F13*(1+$B$5)</f>
        <v>10262.5460028506</v>
      </c>
      <c r="G14" s="41" t="n">
        <f aca="false">F14-F13</f>
        <v>66.2757566006239</v>
      </c>
      <c r="H14" s="44" t="n">
        <f aca="false">H13*(1+$B$5)</f>
        <v>15393.8190042759</v>
      </c>
      <c r="I14" s="41" t="n">
        <f aca="false">H14-H13</f>
        <v>99.4136349009368</v>
      </c>
      <c r="J14" s="44" t="n">
        <f aca="false">J13*(1+$B$5)</f>
        <v>25656.3650071266</v>
      </c>
      <c r="K14" s="41" t="n">
        <f aca="false">J14-J13</f>
        <v>165.689391501561</v>
      </c>
      <c r="L14" s="44" t="n">
        <f aca="false">L13*(1+$B$5)</f>
        <v>51312.7300142531</v>
      </c>
      <c r="M14" s="41" t="n">
        <f aca="false">L14-L13</f>
        <v>331.378783003122</v>
      </c>
    </row>
    <row r="15" customFormat="false" ht="15" hidden="false" customHeight="false" outlineLevel="0" collapsed="false">
      <c r="A15" s="17" t="n">
        <v>5</v>
      </c>
      <c r="B15" s="42" t="n">
        <f aca="false">B14*(1+$B$5)</f>
        <v>1032.92525518692</v>
      </c>
      <c r="C15" s="43" t="n">
        <f aca="false">B15-B14</f>
        <v>6.67065490185291</v>
      </c>
      <c r="D15" s="42" t="n">
        <f aca="false">D14*(1+$B$5)</f>
        <v>5164.62627593458</v>
      </c>
      <c r="E15" s="43" t="n">
        <f aca="false">D15-D14</f>
        <v>33.3532745092643</v>
      </c>
      <c r="F15" s="42" t="n">
        <f aca="false">F14*(1+$B$5)</f>
        <v>10329.2525518692</v>
      </c>
      <c r="G15" s="43" t="n">
        <f aca="false">F15-F14</f>
        <v>66.7065490185287</v>
      </c>
      <c r="H15" s="42" t="n">
        <f aca="false">H14*(1+$B$5)</f>
        <v>15493.8788278037</v>
      </c>
      <c r="I15" s="43" t="n">
        <f aca="false">H15-H14</f>
        <v>100.059823527792</v>
      </c>
      <c r="J15" s="42" t="n">
        <f aca="false">J14*(1+$B$5)</f>
        <v>25823.1313796729</v>
      </c>
      <c r="K15" s="43" t="n">
        <f aca="false">J15-J14</f>
        <v>166.766372546321</v>
      </c>
      <c r="L15" s="42" t="n">
        <f aca="false">L14*(1+$B$5)</f>
        <v>51646.2627593458</v>
      </c>
      <c r="M15" s="43" t="n">
        <f aca="false">L15-L14</f>
        <v>333.532745092642</v>
      </c>
    </row>
    <row r="16" customFormat="false" ht="15" hidden="false" customHeight="false" outlineLevel="0" collapsed="false">
      <c r="A16" s="14" t="n">
        <v>6</v>
      </c>
      <c r="B16" s="44" t="n">
        <f aca="false">B15*(1+$B$5)</f>
        <v>1039.63926934563</v>
      </c>
      <c r="C16" s="41" t="n">
        <f aca="false">B16-B15</f>
        <v>6.71401415871492</v>
      </c>
      <c r="D16" s="44" t="n">
        <f aca="false">D15*(1+$B$5)</f>
        <v>5198.19634672815</v>
      </c>
      <c r="E16" s="41" t="n">
        <f aca="false">D16-D15</f>
        <v>33.5700707935748</v>
      </c>
      <c r="F16" s="44" t="n">
        <f aca="false">F15*(1+$B$5)</f>
        <v>10396.3926934563</v>
      </c>
      <c r="G16" s="41" t="n">
        <f aca="false">F16-F15</f>
        <v>67.1401415871496</v>
      </c>
      <c r="H16" s="44" t="n">
        <f aca="false">H15*(1+$B$5)</f>
        <v>15594.5890401845</v>
      </c>
      <c r="I16" s="41" t="n">
        <f aca="false">H16-H15</f>
        <v>100.710212380724</v>
      </c>
      <c r="J16" s="44" t="n">
        <f aca="false">J15*(1+$B$5)</f>
        <v>25990.9817336408</v>
      </c>
      <c r="K16" s="41" t="n">
        <f aca="false">J16-J15</f>
        <v>167.850353967871</v>
      </c>
      <c r="L16" s="44" t="n">
        <f aca="false">L15*(1+$B$5)</f>
        <v>51981.9634672815</v>
      </c>
      <c r="M16" s="41" t="n">
        <f aca="false">L16-L15</f>
        <v>335.700707935743</v>
      </c>
    </row>
    <row r="17" customFormat="false" ht="15" hidden="false" customHeight="false" outlineLevel="0" collapsed="false">
      <c r="A17" s="17" t="n">
        <v>7</v>
      </c>
      <c r="B17" s="42" t="n">
        <f aca="false">B16*(1+$B$5)</f>
        <v>1046.39692459638</v>
      </c>
      <c r="C17" s="43" t="n">
        <f aca="false">B17-B16</f>
        <v>6.75765525074644</v>
      </c>
      <c r="D17" s="42" t="n">
        <f aca="false">D16*(1+$B$5)</f>
        <v>5231.98462298188</v>
      </c>
      <c r="E17" s="43" t="n">
        <f aca="false">D17-D16</f>
        <v>33.7882762537329</v>
      </c>
      <c r="F17" s="42" t="n">
        <f aca="false">F16*(1+$B$5)</f>
        <v>10463.9692459638</v>
      </c>
      <c r="G17" s="43" t="n">
        <f aca="false">F17-F16</f>
        <v>67.5765525074658</v>
      </c>
      <c r="H17" s="42" t="n">
        <f aca="false">H16*(1+$B$5)</f>
        <v>15695.9538689456</v>
      </c>
      <c r="I17" s="43" t="n">
        <f aca="false">H17-H16</f>
        <v>101.364828761198</v>
      </c>
      <c r="J17" s="42" t="n">
        <f aca="false">J16*(1+$B$5)</f>
        <v>26159.9231149094</v>
      </c>
      <c r="K17" s="43" t="n">
        <f aca="false">J17-J16</f>
        <v>168.941381268665</v>
      </c>
      <c r="L17" s="42" t="n">
        <f aca="false">L16*(1+$B$5)</f>
        <v>52319.8462298188</v>
      </c>
      <c r="M17" s="43" t="n">
        <f aca="false">L17-L16</f>
        <v>337.882762537331</v>
      </c>
    </row>
    <row r="18" customFormat="false" ht="15" hidden="false" customHeight="false" outlineLevel="0" collapsed="false">
      <c r="A18" s="14" t="n">
        <v>8</v>
      </c>
      <c r="B18" s="44" t="n">
        <f aca="false">B17*(1+$B$5)</f>
        <v>1053.19850460625</v>
      </c>
      <c r="C18" s="41" t="n">
        <f aca="false">B18-B17</f>
        <v>6.80158000987649</v>
      </c>
      <c r="D18" s="44" t="n">
        <f aca="false">D17*(1+$B$5)</f>
        <v>5265.99252303127</v>
      </c>
      <c r="E18" s="41" t="n">
        <f aca="false">D18-D17</f>
        <v>34.0079000493815</v>
      </c>
      <c r="F18" s="44" t="n">
        <f aca="false">F17*(1+$B$5)</f>
        <v>10531.9850460625</v>
      </c>
      <c r="G18" s="41" t="n">
        <f aca="false">F18-F17</f>
        <v>68.0158000987631</v>
      </c>
      <c r="H18" s="44" t="n">
        <f aca="false">H17*(1+$B$5)</f>
        <v>15797.9775690938</v>
      </c>
      <c r="I18" s="41" t="n">
        <f aca="false">H18-H17</f>
        <v>102.023700148146</v>
      </c>
      <c r="J18" s="44" t="n">
        <f aca="false">J17*(1+$B$5)</f>
        <v>26329.9626151563</v>
      </c>
      <c r="K18" s="41" t="n">
        <f aca="false">J18-J17</f>
        <v>170.039500246909</v>
      </c>
      <c r="L18" s="44" t="n">
        <f aca="false">L17*(1+$B$5)</f>
        <v>52659.9252303127</v>
      </c>
      <c r="M18" s="41" t="n">
        <f aca="false">L18-L17</f>
        <v>340.079000493817</v>
      </c>
    </row>
    <row r="19" customFormat="false" ht="15" hidden="false" customHeight="false" outlineLevel="0" collapsed="false">
      <c r="A19" s="17" t="n">
        <v>9</v>
      </c>
      <c r="B19" s="42" t="n">
        <f aca="false">B18*(1+$B$5)</f>
        <v>1060.04429488619</v>
      </c>
      <c r="C19" s="43" t="n">
        <f aca="false">B19-B18</f>
        <v>6.8457902799405</v>
      </c>
      <c r="D19" s="42" t="n">
        <f aca="false">D18*(1+$B$5)</f>
        <v>5300.22147443097</v>
      </c>
      <c r="E19" s="43" t="n">
        <f aca="false">D19-D18</f>
        <v>34.228951399703</v>
      </c>
      <c r="F19" s="42" t="n">
        <f aca="false">F18*(1+$B$5)</f>
        <v>10600.4429488619</v>
      </c>
      <c r="G19" s="43" t="n">
        <f aca="false">F19-F18</f>
        <v>68.4579027994059</v>
      </c>
      <c r="H19" s="42" t="n">
        <f aca="false">H18*(1+$B$5)</f>
        <v>15900.6644232929</v>
      </c>
      <c r="I19" s="43" t="n">
        <f aca="false">H19-H18</f>
        <v>102.686854199108</v>
      </c>
      <c r="J19" s="42" t="n">
        <f aca="false">J18*(1+$B$5)</f>
        <v>26501.1073721548</v>
      </c>
      <c r="K19" s="43" t="n">
        <f aca="false">J19-J18</f>
        <v>171.144756998514</v>
      </c>
      <c r="L19" s="42" t="n">
        <f aca="false">L18*(1+$B$5)</f>
        <v>53002.2147443097</v>
      </c>
      <c r="M19" s="43" t="n">
        <f aca="false">L19-L18</f>
        <v>342.289513997028</v>
      </c>
    </row>
    <row r="20" customFormat="false" ht="15" hidden="false" customHeight="false" outlineLevel="0" collapsed="false">
      <c r="A20" s="14" t="n">
        <v>10</v>
      </c>
      <c r="B20" s="44" t="n">
        <f aca="false">B19*(1+$B$5)</f>
        <v>1066.93458280295</v>
      </c>
      <c r="C20" s="41" t="n">
        <f aca="false">B20-B19</f>
        <v>6.89028791676014</v>
      </c>
      <c r="D20" s="44" t="n">
        <f aca="false">D19*(1+$B$5)</f>
        <v>5334.67291401477</v>
      </c>
      <c r="E20" s="41" t="n">
        <f aca="false">D20-D19</f>
        <v>34.4514395838014</v>
      </c>
      <c r="F20" s="44" t="n">
        <f aca="false">F19*(1+$B$5)</f>
        <v>10669.3458280295</v>
      </c>
      <c r="G20" s="41" t="n">
        <f aca="false">F20-F19</f>
        <v>68.9028791676028</v>
      </c>
      <c r="H20" s="44" t="n">
        <f aca="false">H19*(1+$B$5)</f>
        <v>16004.0187420443</v>
      </c>
      <c r="I20" s="41" t="n">
        <f aca="false">H20-H19</f>
        <v>103.354318751402</v>
      </c>
      <c r="J20" s="44" t="n">
        <f aca="false">J19*(1+$B$5)</f>
        <v>26673.3645700738</v>
      </c>
      <c r="K20" s="41" t="n">
        <f aca="false">J20-J19</f>
        <v>172.257197919003</v>
      </c>
      <c r="L20" s="44" t="n">
        <f aca="false">L19*(1+$B$5)</f>
        <v>53346.7291401477</v>
      </c>
      <c r="M20" s="41" t="n">
        <f aca="false">L20-L19</f>
        <v>344.514395838007</v>
      </c>
    </row>
    <row r="21" customFormat="false" ht="15" hidden="false" customHeight="false" outlineLevel="0" collapsed="false">
      <c r="A21" s="17" t="n">
        <v>11</v>
      </c>
      <c r="B21" s="42" t="n">
        <f aca="false">B20*(1+$B$5)</f>
        <v>1073.86965759117</v>
      </c>
      <c r="C21" s="43" t="n">
        <f aca="false">B21-B20</f>
        <v>6.93507478821925</v>
      </c>
      <c r="D21" s="42" t="n">
        <f aca="false">D20*(1+$B$5)</f>
        <v>5369.34828795587</v>
      </c>
      <c r="E21" s="43" t="n">
        <f aca="false">D21-D20</f>
        <v>34.675373941096</v>
      </c>
      <c r="F21" s="42" t="n">
        <f aca="false">F20*(1+$B$5)</f>
        <v>10738.6965759117</v>
      </c>
      <c r="G21" s="43" t="n">
        <f aca="false">F21-F20</f>
        <v>69.3507478821921</v>
      </c>
      <c r="H21" s="42" t="n">
        <f aca="false">H20*(1+$B$5)</f>
        <v>16108.0448638676</v>
      </c>
      <c r="I21" s="43" t="n">
        <f aca="false">H21-H20</f>
        <v>104.026121823286</v>
      </c>
      <c r="J21" s="42" t="n">
        <f aca="false">J20*(1+$B$5)</f>
        <v>26846.7414397793</v>
      </c>
      <c r="K21" s="43" t="n">
        <f aca="false">J21-J20</f>
        <v>173.37686970548</v>
      </c>
      <c r="L21" s="42" t="n">
        <f aca="false">L20*(1+$B$5)</f>
        <v>53693.4828795586</v>
      </c>
      <c r="M21" s="43" t="n">
        <f aca="false">L21-L20</f>
        <v>346.75373941096</v>
      </c>
    </row>
    <row r="22" customFormat="false" ht="15" hidden="false" customHeight="false" outlineLevel="0" collapsed="false">
      <c r="A22" s="45" t="n">
        <v>12</v>
      </c>
      <c r="B22" s="46" t="n">
        <f aca="false">B21*(1+$B$5)</f>
        <v>1080.84981036552</v>
      </c>
      <c r="C22" s="47" t="n">
        <f aca="false">B22-B21</f>
        <v>6.98015277434251</v>
      </c>
      <c r="D22" s="46" t="n">
        <f aca="false">D21*(1+$B$5)</f>
        <v>5404.24905182758</v>
      </c>
      <c r="E22" s="47" t="n">
        <f aca="false">D22-D21</f>
        <v>34.900763871713</v>
      </c>
      <c r="F22" s="46" t="n">
        <f aca="false">F21*(1+$B$5)</f>
        <v>10808.4981036552</v>
      </c>
      <c r="G22" s="47" t="n">
        <f aca="false">F22-F21</f>
        <v>69.8015277434261</v>
      </c>
      <c r="H22" s="46" t="n">
        <f aca="false">H21*(1+$B$5)</f>
        <v>16212.7471554827</v>
      </c>
      <c r="I22" s="47" t="n">
        <f aca="false">H22-H21</f>
        <v>104.702291615138</v>
      </c>
      <c r="J22" s="46" t="n">
        <f aca="false">J21*(1+$B$5)</f>
        <v>27021.2452591379</v>
      </c>
      <c r="K22" s="47" t="n">
        <f aca="false">J22-J21</f>
        <v>174.503819358564</v>
      </c>
      <c r="L22" s="46" t="n">
        <f aca="false">L21*(1+$B$5)</f>
        <v>54042.4905182758</v>
      </c>
      <c r="M22" s="47" t="n">
        <f aca="false">L22-L21</f>
        <v>349.007638717128</v>
      </c>
    </row>
    <row r="23" customFormat="false" ht="15" hidden="false" customHeight="false" outlineLevel="0" collapsed="false">
      <c r="A23" s="17" t="n">
        <v>13</v>
      </c>
      <c r="B23" s="42" t="n">
        <f aca="false">B22*(1+$B$5)</f>
        <v>1087.87533413289</v>
      </c>
      <c r="C23" s="43" t="n">
        <f aca="false">B23-B22</f>
        <v>7.02552376737572</v>
      </c>
      <c r="D23" s="42" t="n">
        <f aca="false">D22*(1+$B$5)</f>
        <v>5439.37667066446</v>
      </c>
      <c r="E23" s="43" t="n">
        <f aca="false">D23-D22</f>
        <v>35.1276188368793</v>
      </c>
      <c r="F23" s="42" t="n">
        <f aca="false">F22*(1+$B$5)</f>
        <v>10878.7533413289</v>
      </c>
      <c r="G23" s="43" t="n">
        <f aca="false">F23-F22</f>
        <v>70.2552376737585</v>
      </c>
      <c r="H23" s="42" t="n">
        <f aca="false">H22*(1+$B$5)</f>
        <v>16318.1300119934</v>
      </c>
      <c r="I23" s="43" t="n">
        <f aca="false">H23-H22</f>
        <v>105.382856510638</v>
      </c>
      <c r="J23" s="42" t="n">
        <f aca="false">J22*(1+$B$5)</f>
        <v>27196.8833533223</v>
      </c>
      <c r="K23" s="43" t="n">
        <f aca="false">J23-J22</f>
        <v>175.638094184396</v>
      </c>
      <c r="L23" s="42" t="n">
        <f aca="false">L22*(1+$B$5)</f>
        <v>54393.7667066446</v>
      </c>
      <c r="M23" s="43" t="n">
        <f aca="false">L23-L22</f>
        <v>351.276188368793</v>
      </c>
    </row>
    <row r="24" customFormat="false" ht="15" hidden="false" customHeight="false" outlineLevel="0" collapsed="false">
      <c r="A24" s="14" t="n">
        <v>14</v>
      </c>
      <c r="B24" s="44" t="n">
        <f aca="false">B23*(1+$B$5)</f>
        <v>1094.94652380475</v>
      </c>
      <c r="C24" s="41" t="n">
        <f aca="false">B24-B23</f>
        <v>7.07118967186375</v>
      </c>
      <c r="D24" s="44" t="n">
        <f aca="false">D23*(1+$B$5)</f>
        <v>5474.73261902378</v>
      </c>
      <c r="E24" s="41" t="n">
        <f aca="false">D24-D23</f>
        <v>35.355948359319</v>
      </c>
      <c r="F24" s="44" t="n">
        <f aca="false">F23*(1+$B$5)</f>
        <v>10949.4652380476</v>
      </c>
      <c r="G24" s="41" t="n">
        <f aca="false">F24-F23</f>
        <v>70.711896718638</v>
      </c>
      <c r="H24" s="44" t="n">
        <f aca="false">H23*(1+$B$5)</f>
        <v>16424.1978570713</v>
      </c>
      <c r="I24" s="41" t="n">
        <f aca="false">H24-H23</f>
        <v>106.067845077956</v>
      </c>
      <c r="J24" s="44" t="n">
        <f aca="false">J23*(1+$B$5)</f>
        <v>27373.6630951189</v>
      </c>
      <c r="K24" s="41" t="n">
        <f aca="false">J24-J23</f>
        <v>176.779741796592</v>
      </c>
      <c r="L24" s="44" t="n">
        <f aca="false">L23*(1+$B$5)</f>
        <v>54747.3261902378</v>
      </c>
      <c r="M24" s="41" t="n">
        <f aca="false">L24-L23</f>
        <v>353.559483593184</v>
      </c>
    </row>
    <row r="25" customFormat="false" ht="15" hidden="false" customHeight="false" outlineLevel="0" collapsed="false">
      <c r="A25" s="17" t="n">
        <v>15</v>
      </c>
      <c r="B25" s="42" t="n">
        <f aca="false">B24*(1+$B$5)</f>
        <v>1102.06367620949</v>
      </c>
      <c r="C25" s="43" t="n">
        <f aca="false">B25-B24</f>
        <v>7.11715240473086</v>
      </c>
      <c r="D25" s="42" t="n">
        <f aca="false">D24*(1+$B$5)</f>
        <v>5510.31838104743</v>
      </c>
      <c r="E25" s="43" t="n">
        <f aca="false">D25-D24</f>
        <v>35.5857620236538</v>
      </c>
      <c r="F25" s="42" t="n">
        <f aca="false">F24*(1+$B$5)</f>
        <v>11020.6367620949</v>
      </c>
      <c r="G25" s="43" t="n">
        <f aca="false">F25-F24</f>
        <v>71.1715240473077</v>
      </c>
      <c r="H25" s="42" t="n">
        <f aca="false">H24*(1+$B$5)</f>
        <v>16530.9551431423</v>
      </c>
      <c r="I25" s="43" t="n">
        <f aca="false">H25-H24</f>
        <v>106.757286070962</v>
      </c>
      <c r="J25" s="42" t="n">
        <f aca="false">J24*(1+$B$5)</f>
        <v>27551.5919052371</v>
      </c>
      <c r="K25" s="43" t="n">
        <f aca="false">J25-J24</f>
        <v>177.928810118272</v>
      </c>
      <c r="L25" s="42" t="n">
        <f aca="false">L24*(1+$B$5)</f>
        <v>55103.1838104743</v>
      </c>
      <c r="M25" s="43" t="n">
        <f aca="false">L25-L24</f>
        <v>355.857620236544</v>
      </c>
    </row>
    <row r="26" customFormat="false" ht="15" hidden="false" customHeight="false" outlineLevel="0" collapsed="false">
      <c r="A26" s="14" t="n">
        <v>16</v>
      </c>
      <c r="B26" s="44" t="n">
        <f aca="false">B25*(1+$B$5)</f>
        <v>1109.22709010485</v>
      </c>
      <c r="C26" s="41" t="n">
        <f aca="false">B26-B25</f>
        <v>7.1634138953616</v>
      </c>
      <c r="D26" s="44" t="n">
        <f aca="false">D25*(1+$B$5)</f>
        <v>5546.13545052424</v>
      </c>
      <c r="E26" s="41" t="n">
        <f aca="false">D26-D25</f>
        <v>35.8170694768078</v>
      </c>
      <c r="F26" s="44" t="n">
        <f aca="false">F25*(1+$B$5)</f>
        <v>11092.2709010485</v>
      </c>
      <c r="G26" s="41" t="n">
        <f aca="false">F26-F25</f>
        <v>71.6341389536156</v>
      </c>
      <c r="H26" s="44" t="n">
        <f aca="false">H25*(1+$B$5)</f>
        <v>16638.4063515727</v>
      </c>
      <c r="I26" s="41" t="n">
        <f aca="false">H26-H25</f>
        <v>107.451208430422</v>
      </c>
      <c r="J26" s="44" t="n">
        <f aca="false">J25*(1+$B$5)</f>
        <v>27730.6772526212</v>
      </c>
      <c r="K26" s="41" t="n">
        <f aca="false">J26-J25</f>
        <v>179.08534738404</v>
      </c>
      <c r="L26" s="44" t="n">
        <f aca="false">L25*(1+$B$5)</f>
        <v>55461.3545052424</v>
      </c>
      <c r="M26" s="41" t="n">
        <f aca="false">L26-L25</f>
        <v>358.17069476808</v>
      </c>
    </row>
    <row r="27" customFormat="false" ht="15" hidden="false" customHeight="false" outlineLevel="0" collapsed="false">
      <c r="A27" s="17" t="n">
        <v>17</v>
      </c>
      <c r="B27" s="42" t="n">
        <f aca="false">B26*(1+$B$5)</f>
        <v>1116.43706619053</v>
      </c>
      <c r="C27" s="43" t="n">
        <f aca="false">B27-B26</f>
        <v>7.20997608568155</v>
      </c>
      <c r="D27" s="42" t="n">
        <f aca="false">D26*(1+$B$5)</f>
        <v>5582.18533095265</v>
      </c>
      <c r="E27" s="43" t="n">
        <f aca="false">D27-D26</f>
        <v>36.0498804284071</v>
      </c>
      <c r="F27" s="42" t="n">
        <f aca="false">F26*(1+$B$5)</f>
        <v>11164.3706619053</v>
      </c>
      <c r="G27" s="43" t="n">
        <f aca="false">F27-F26</f>
        <v>72.0997608568141</v>
      </c>
      <c r="H27" s="42" t="n">
        <f aca="false">H26*(1+$B$5)</f>
        <v>16746.5559928579</v>
      </c>
      <c r="I27" s="43" t="n">
        <f aca="false">H27-H26</f>
        <v>108.149641285221</v>
      </c>
      <c r="J27" s="42" t="n">
        <f aca="false">J26*(1+$B$5)</f>
        <v>27910.9266547632</v>
      </c>
      <c r="K27" s="43" t="n">
        <f aca="false">J27-J26</f>
        <v>180.249402142035</v>
      </c>
      <c r="L27" s="42" t="n">
        <f aca="false">L26*(1+$B$5)</f>
        <v>55821.8533095264</v>
      </c>
      <c r="M27" s="43" t="n">
        <f aca="false">L27-L26</f>
        <v>360.498804284071</v>
      </c>
    </row>
    <row r="28" customFormat="false" ht="15" hidden="false" customHeight="false" outlineLevel="0" collapsed="false">
      <c r="A28" s="14" t="n">
        <v>18</v>
      </c>
      <c r="B28" s="44" t="n">
        <f aca="false">B27*(1+$B$5)</f>
        <v>1123.69390712077</v>
      </c>
      <c r="C28" s="41" t="n">
        <f aca="false">B28-B27</f>
        <v>7.25684093023847</v>
      </c>
      <c r="D28" s="44" t="n">
        <f aca="false">D27*(1+$B$5)</f>
        <v>5618.46953560384</v>
      </c>
      <c r="E28" s="41" t="n">
        <f aca="false">D28-D27</f>
        <v>36.2842046511923</v>
      </c>
      <c r="F28" s="44" t="n">
        <f aca="false">F27*(1+$B$5)</f>
        <v>11236.9390712077</v>
      </c>
      <c r="G28" s="41" t="n">
        <f aca="false">F28-F27</f>
        <v>72.5684093023847</v>
      </c>
      <c r="H28" s="44" t="n">
        <f aca="false">H27*(1+$B$5)</f>
        <v>16855.4086068115</v>
      </c>
      <c r="I28" s="41" t="n">
        <f aca="false">H28-H27</f>
        <v>108.852613953575</v>
      </c>
      <c r="J28" s="44" t="n">
        <f aca="false">J27*(1+$B$5)</f>
        <v>28092.3476780192</v>
      </c>
      <c r="K28" s="41" t="n">
        <f aca="false">J28-J27</f>
        <v>181.42102325596</v>
      </c>
      <c r="L28" s="44" t="n">
        <f aca="false">L27*(1+$B$5)</f>
        <v>56184.6953560384</v>
      </c>
      <c r="M28" s="41" t="n">
        <f aca="false">L28-L27</f>
        <v>362.84204651192</v>
      </c>
    </row>
    <row r="29" customFormat="false" ht="15" hidden="false" customHeight="false" outlineLevel="0" collapsed="false">
      <c r="A29" s="17" t="n">
        <v>19</v>
      </c>
      <c r="B29" s="42" t="n">
        <f aca="false">B28*(1+$B$5)</f>
        <v>1130.99791751705</v>
      </c>
      <c r="C29" s="43" t="n">
        <f aca="false">B29-B28</f>
        <v>7.30401039628487</v>
      </c>
      <c r="D29" s="42" t="n">
        <f aca="false">D28*(1+$B$5)</f>
        <v>5654.98958758526</v>
      </c>
      <c r="E29" s="43" t="n">
        <f aca="false">D29-D28</f>
        <v>36.5200519814243</v>
      </c>
      <c r="F29" s="42" t="n">
        <f aca="false">F28*(1+$B$5)</f>
        <v>11309.9791751705</v>
      </c>
      <c r="G29" s="43" t="n">
        <f aca="false">F29-F28</f>
        <v>73.0401039628487</v>
      </c>
      <c r="H29" s="42" t="n">
        <f aca="false">H28*(1+$B$5)</f>
        <v>16964.9687627558</v>
      </c>
      <c r="I29" s="43" t="n">
        <f aca="false">H29-H28</f>
        <v>109.560155944273</v>
      </c>
      <c r="J29" s="42" t="n">
        <f aca="false">J28*(1+$B$5)</f>
        <v>28274.9479379263</v>
      </c>
      <c r="K29" s="43" t="n">
        <f aca="false">J29-J28</f>
        <v>182.600259907122</v>
      </c>
      <c r="L29" s="42" t="n">
        <f aca="false">L28*(1+$B$5)</f>
        <v>56549.8958758526</v>
      </c>
      <c r="M29" s="43" t="n">
        <f aca="false">L29-L28</f>
        <v>365.200519814243</v>
      </c>
    </row>
    <row r="30" customFormat="false" ht="15" hidden="false" customHeight="false" outlineLevel="0" collapsed="false">
      <c r="A30" s="14" t="n">
        <v>20</v>
      </c>
      <c r="B30" s="44" t="n">
        <f aca="false">B29*(1+$B$5)</f>
        <v>1138.34940398091</v>
      </c>
      <c r="C30" s="41" t="n">
        <f aca="false">B30-B29</f>
        <v>7.35148646386074</v>
      </c>
      <c r="D30" s="44" t="n">
        <f aca="false">D29*(1+$B$5)</f>
        <v>5691.74701990457</v>
      </c>
      <c r="E30" s="41" t="n">
        <f aca="false">D30-D29</f>
        <v>36.7574323193039</v>
      </c>
      <c r="F30" s="44" t="n">
        <f aca="false">F29*(1+$B$5)</f>
        <v>11383.4940398091</v>
      </c>
      <c r="G30" s="41" t="n">
        <f aca="false">F30-F29</f>
        <v>73.5148646386078</v>
      </c>
      <c r="H30" s="44" t="n">
        <f aca="false">H29*(1+$B$5)</f>
        <v>17075.2410597137</v>
      </c>
      <c r="I30" s="41" t="n">
        <f aca="false">H30-H29</f>
        <v>110.272296957912</v>
      </c>
      <c r="J30" s="44" t="n">
        <f aca="false">J29*(1+$B$5)</f>
        <v>28458.7350995228</v>
      </c>
      <c r="K30" s="41" t="n">
        <f aca="false">J30-J29</f>
        <v>183.78716159652</v>
      </c>
      <c r="L30" s="44" t="n">
        <f aca="false">L29*(1+$B$5)</f>
        <v>56917.4701990456</v>
      </c>
      <c r="M30" s="41" t="n">
        <f aca="false">L30-L29</f>
        <v>367.574323193039</v>
      </c>
    </row>
    <row r="31" customFormat="false" ht="15" hidden="false" customHeight="false" outlineLevel="0" collapsed="false">
      <c r="A31" s="17" t="n">
        <v>21</v>
      </c>
      <c r="B31" s="42" t="n">
        <f aca="false">B30*(1+$B$5)</f>
        <v>1145.74867510679</v>
      </c>
      <c r="C31" s="43" t="n">
        <f aca="false">B31-B30</f>
        <v>7.39927112587588</v>
      </c>
      <c r="D31" s="42" t="n">
        <f aca="false">D30*(1+$B$5)</f>
        <v>5728.74337553395</v>
      </c>
      <c r="E31" s="43" t="n">
        <f aca="false">D31-D30</f>
        <v>36.9963556293797</v>
      </c>
      <c r="F31" s="42" t="n">
        <f aca="false">F30*(1+$B$5)</f>
        <v>11457.4867510679</v>
      </c>
      <c r="G31" s="43" t="n">
        <f aca="false">F31-F30</f>
        <v>73.9927112587593</v>
      </c>
      <c r="H31" s="42" t="n">
        <f aca="false">H30*(1+$B$5)</f>
        <v>17186.2301266018</v>
      </c>
      <c r="I31" s="43" t="n">
        <f aca="false">H31-H30</f>
        <v>110.989066888138</v>
      </c>
      <c r="J31" s="42" t="n">
        <f aca="false">J30*(1+$B$5)</f>
        <v>28643.7168776697</v>
      </c>
      <c r="K31" s="43" t="n">
        <f aca="false">J31-J30</f>
        <v>184.981778146896</v>
      </c>
      <c r="L31" s="42" t="n">
        <f aca="false">L30*(1+$B$5)</f>
        <v>57287.4337553394</v>
      </c>
      <c r="M31" s="43" t="n">
        <f aca="false">L31-L30</f>
        <v>369.963556293791</v>
      </c>
    </row>
    <row r="32" customFormat="false" ht="15" hidden="false" customHeight="false" outlineLevel="0" collapsed="false">
      <c r="A32" s="14" t="n">
        <v>22</v>
      </c>
      <c r="B32" s="44" t="n">
        <f aca="false">B31*(1+$B$5)</f>
        <v>1153.19604149498</v>
      </c>
      <c r="C32" s="41" t="n">
        <f aca="false">B32-B31</f>
        <v>7.44736638819404</v>
      </c>
      <c r="D32" s="44" t="n">
        <f aca="false">D31*(1+$B$5)</f>
        <v>5765.98020747492</v>
      </c>
      <c r="E32" s="41" t="n">
        <f aca="false">D32-D31</f>
        <v>37.2368319409707</v>
      </c>
      <c r="F32" s="44" t="n">
        <f aca="false">F31*(1+$B$5)</f>
        <v>11531.9604149498</v>
      </c>
      <c r="G32" s="41" t="n">
        <f aca="false">F32-F31</f>
        <v>74.4736638819413</v>
      </c>
      <c r="H32" s="44" t="n">
        <f aca="false">H31*(1+$B$5)</f>
        <v>17297.9406224247</v>
      </c>
      <c r="I32" s="41" t="n">
        <f aca="false">H32-H31</f>
        <v>111.71049582291</v>
      </c>
      <c r="J32" s="44" t="n">
        <f aca="false">J31*(1+$B$5)</f>
        <v>28829.9010373746</v>
      </c>
      <c r="K32" s="41" t="n">
        <f aca="false">J32-J31</f>
        <v>186.184159704851</v>
      </c>
      <c r="L32" s="44" t="n">
        <f aca="false">L31*(1+$B$5)</f>
        <v>57659.8020747491</v>
      </c>
      <c r="M32" s="41" t="n">
        <f aca="false">L32-L31</f>
        <v>372.368319409703</v>
      </c>
    </row>
    <row r="33" customFormat="false" ht="15" hidden="false" customHeight="false" outlineLevel="0" collapsed="false">
      <c r="A33" s="17" t="n">
        <v>23</v>
      </c>
      <c r="B33" s="42" t="n">
        <f aca="false">B32*(1+$B$5)</f>
        <v>1160.6918157647</v>
      </c>
      <c r="C33" s="43" t="n">
        <f aca="false">B33-B32</f>
        <v>7.49577426971723</v>
      </c>
      <c r="D33" s="42" t="n">
        <f aca="false">D32*(1+$B$5)</f>
        <v>5803.4590788235</v>
      </c>
      <c r="E33" s="43" t="n">
        <f aca="false">D33-D32</f>
        <v>37.4788713485868</v>
      </c>
      <c r="F33" s="42" t="n">
        <f aca="false">F32*(1+$B$5)</f>
        <v>11606.918157647</v>
      </c>
      <c r="G33" s="43" t="n">
        <f aca="false">F33-F32</f>
        <v>74.9577426971737</v>
      </c>
      <c r="H33" s="42" t="n">
        <f aca="false">H32*(1+$B$5)</f>
        <v>17410.3772364705</v>
      </c>
      <c r="I33" s="43" t="n">
        <f aca="false">H33-H32</f>
        <v>112.436614045761</v>
      </c>
      <c r="J33" s="42" t="n">
        <f aca="false">J32*(1+$B$5)</f>
        <v>29017.2953941175</v>
      </c>
      <c r="K33" s="43" t="n">
        <f aca="false">J33-J32</f>
        <v>187.394356742934</v>
      </c>
      <c r="L33" s="42" t="n">
        <f aca="false">L32*(1+$B$5)</f>
        <v>58034.590788235</v>
      </c>
      <c r="M33" s="43" t="n">
        <f aca="false">L33-L32</f>
        <v>374.788713485868</v>
      </c>
    </row>
    <row r="34" customFormat="false" ht="15" hidden="false" customHeight="false" outlineLevel="0" collapsed="false">
      <c r="A34" s="45" t="n">
        <v>24</v>
      </c>
      <c r="B34" s="46" t="n">
        <f aca="false">B33*(1+$B$5)</f>
        <v>1168.23631256717</v>
      </c>
      <c r="C34" s="47" t="n">
        <f aca="false">B34-B33</f>
        <v>7.54449680247058</v>
      </c>
      <c r="D34" s="46" t="n">
        <f aca="false">D33*(1+$B$5)</f>
        <v>5841.18156283586</v>
      </c>
      <c r="E34" s="47" t="n">
        <f aca="false">D34-D33</f>
        <v>37.7224840123527</v>
      </c>
      <c r="F34" s="46" t="n">
        <f aca="false">F33*(1+$B$5)</f>
        <v>11682.3631256717</v>
      </c>
      <c r="G34" s="47" t="n">
        <f aca="false">F34-F33</f>
        <v>75.4449680247053</v>
      </c>
      <c r="H34" s="46" t="n">
        <f aca="false">H33*(1+$B$5)</f>
        <v>17523.5446885076</v>
      </c>
      <c r="I34" s="47" t="n">
        <f aca="false">H34-H33</f>
        <v>113.167452037058</v>
      </c>
      <c r="J34" s="46" t="n">
        <f aca="false">J33*(1+$B$5)</f>
        <v>29205.9078141793</v>
      </c>
      <c r="K34" s="47" t="n">
        <f aca="false">J34-J33</f>
        <v>188.612420061763</v>
      </c>
      <c r="L34" s="46" t="n">
        <f aca="false">L33*(1+$B$5)</f>
        <v>58411.8156283585</v>
      </c>
      <c r="M34" s="47" t="n">
        <f aca="false">L34-L33</f>
        <v>377.224840123527</v>
      </c>
    </row>
    <row r="35" customFormat="false" ht="15" hidden="false" customHeight="false" outlineLevel="0" collapsed="false">
      <c r="A35" s="17" t="n">
        <v>25</v>
      </c>
      <c r="B35" s="42" t="n">
        <f aca="false">B34*(1+$B$5)</f>
        <v>1175.82984859886</v>
      </c>
      <c r="C35" s="43" t="n">
        <f aca="false">B35-B34</f>
        <v>7.59353603168665</v>
      </c>
      <c r="D35" s="42" t="n">
        <f aca="false">D34*(1+$B$5)</f>
        <v>5879.14924299429</v>
      </c>
      <c r="E35" s="43" t="n">
        <f aca="false">D35-D34</f>
        <v>37.9676801584328</v>
      </c>
      <c r="F35" s="42" t="n">
        <f aca="false">F34*(1+$B$5)</f>
        <v>11758.2984859886</v>
      </c>
      <c r="G35" s="43" t="n">
        <f aca="false">F35-F34</f>
        <v>75.9353603168656</v>
      </c>
      <c r="H35" s="42" t="n">
        <f aca="false">H34*(1+$B$5)</f>
        <v>17637.4477289829</v>
      </c>
      <c r="I35" s="43" t="n">
        <f aca="false">H35-H34</f>
        <v>113.903040475299</v>
      </c>
      <c r="J35" s="42" t="n">
        <f aca="false">J34*(1+$B$5)</f>
        <v>29395.7462149714</v>
      </c>
      <c r="K35" s="43" t="n">
        <f aca="false">J35-J34</f>
        <v>189.838400792163</v>
      </c>
      <c r="L35" s="42" t="n">
        <f aca="false">L34*(1+$B$5)</f>
        <v>58791.4924299429</v>
      </c>
      <c r="M35" s="43" t="n">
        <f aca="false">L35-L34</f>
        <v>379.676801584326</v>
      </c>
    </row>
    <row r="36" customFormat="false" ht="15" hidden="false" customHeight="false" outlineLevel="0" collapsed="false">
      <c r="A36" s="14" t="n">
        <v>26</v>
      </c>
      <c r="B36" s="44" t="n">
        <f aca="false">B35*(1+$B$5)</f>
        <v>1183.47274261475</v>
      </c>
      <c r="C36" s="41" t="n">
        <f aca="false">B36-B35</f>
        <v>7.64289401589258</v>
      </c>
      <c r="D36" s="44" t="n">
        <f aca="false">D35*(1+$B$5)</f>
        <v>5917.36371307375</v>
      </c>
      <c r="E36" s="41" t="n">
        <f aca="false">D36-D35</f>
        <v>38.2144700794624</v>
      </c>
      <c r="F36" s="44" t="n">
        <f aca="false">F35*(1+$B$5)</f>
        <v>11834.7274261475</v>
      </c>
      <c r="G36" s="41" t="n">
        <f aca="false">F36-F35</f>
        <v>76.4289401589249</v>
      </c>
      <c r="H36" s="44" t="n">
        <f aca="false">H35*(1+$B$5)</f>
        <v>17752.0911392212</v>
      </c>
      <c r="I36" s="41" t="n">
        <f aca="false">H36-H35</f>
        <v>114.643410238386</v>
      </c>
      <c r="J36" s="44" t="n">
        <f aca="false">J35*(1+$B$5)</f>
        <v>29586.8185653687</v>
      </c>
      <c r="K36" s="41" t="n">
        <f aca="false">J36-J35</f>
        <v>191.072350397313</v>
      </c>
      <c r="L36" s="44" t="n">
        <f aca="false">L35*(1+$B$5)</f>
        <v>59173.6371307375</v>
      </c>
      <c r="M36" s="41" t="n">
        <f aca="false">L36-L35</f>
        <v>382.144700794626</v>
      </c>
    </row>
    <row r="37" customFormat="false" ht="15" hidden="false" customHeight="false" outlineLevel="0" collapsed="false">
      <c r="A37" s="17" t="n">
        <v>27</v>
      </c>
      <c r="B37" s="42" t="n">
        <f aca="false">B36*(1+$B$5)</f>
        <v>1191.16531544175</v>
      </c>
      <c r="C37" s="43" t="n">
        <f aca="false">B37-B36</f>
        <v>7.69257282699573</v>
      </c>
      <c r="D37" s="42" t="n">
        <f aca="false">D36*(1+$B$5)</f>
        <v>5955.82657720873</v>
      </c>
      <c r="E37" s="43" t="n">
        <f aca="false">D37-D36</f>
        <v>38.4628641349791</v>
      </c>
      <c r="F37" s="42" t="n">
        <f aca="false">F36*(1+$B$5)</f>
        <v>11911.6531544175</v>
      </c>
      <c r="G37" s="43" t="n">
        <f aca="false">F37-F36</f>
        <v>76.9257282699582</v>
      </c>
      <c r="H37" s="42" t="n">
        <f aca="false">H36*(1+$B$5)</f>
        <v>17867.4797316262</v>
      </c>
      <c r="I37" s="43" t="n">
        <f aca="false">H37-H36</f>
        <v>115.388592404935</v>
      </c>
      <c r="J37" s="42" t="n">
        <f aca="false">J36*(1+$B$5)</f>
        <v>29779.1328860436</v>
      </c>
      <c r="K37" s="43" t="n">
        <f aca="false">J37-J36</f>
        <v>192.314320674894</v>
      </c>
      <c r="L37" s="42" t="n">
        <f aca="false">L36*(1+$B$5)</f>
        <v>59558.2657720873</v>
      </c>
      <c r="M37" s="43" t="n">
        <f aca="false">L37-L36</f>
        <v>384.628641349787</v>
      </c>
    </row>
    <row r="38" customFormat="false" ht="15" hidden="false" customHeight="false" outlineLevel="0" collapsed="false">
      <c r="A38" s="14" t="n">
        <v>28</v>
      </c>
      <c r="B38" s="44" t="n">
        <f aca="false">B37*(1+$B$5)</f>
        <v>1198.90788999212</v>
      </c>
      <c r="C38" s="41" t="n">
        <f aca="false">B38-B37</f>
        <v>7.74257455037127</v>
      </c>
      <c r="D38" s="44" t="n">
        <f aca="false">D37*(1+$B$5)</f>
        <v>5994.53944996059</v>
      </c>
      <c r="E38" s="41" t="n">
        <f aca="false">D38-D37</f>
        <v>38.7128727518566</v>
      </c>
      <c r="F38" s="44" t="n">
        <f aca="false">F37*(1+$B$5)</f>
        <v>11989.0788999212</v>
      </c>
      <c r="G38" s="41" t="n">
        <f aca="false">F38-F37</f>
        <v>77.4257455037132</v>
      </c>
      <c r="H38" s="44" t="n">
        <f aca="false">H37*(1+$B$5)</f>
        <v>17983.6183498817</v>
      </c>
      <c r="I38" s="41" t="n">
        <f aca="false">H38-H37</f>
        <v>116.138618255569</v>
      </c>
      <c r="J38" s="44" t="n">
        <f aca="false">J37*(1+$B$5)</f>
        <v>29972.6972498029</v>
      </c>
      <c r="K38" s="41" t="n">
        <f aca="false">J38-J37</f>
        <v>193.564363759284</v>
      </c>
      <c r="L38" s="44" t="n">
        <f aca="false">L37*(1+$B$5)</f>
        <v>59945.3944996058</v>
      </c>
      <c r="M38" s="41" t="n">
        <f aca="false">L38-L37</f>
        <v>387.128727518568</v>
      </c>
    </row>
    <row r="39" customFormat="false" ht="15" hidden="false" customHeight="false" outlineLevel="0" collapsed="false">
      <c r="A39" s="17" t="n">
        <v>29</v>
      </c>
      <c r="B39" s="42" t="n">
        <f aca="false">B38*(1+$B$5)</f>
        <v>1206.70079127707</v>
      </c>
      <c r="C39" s="43" t="n">
        <f aca="false">B39-B38</f>
        <v>7.79290128494881</v>
      </c>
      <c r="D39" s="42" t="n">
        <f aca="false">D38*(1+$B$5)</f>
        <v>6033.50395638533</v>
      </c>
      <c r="E39" s="43" t="n">
        <f aca="false">D39-D38</f>
        <v>38.9645064247434</v>
      </c>
      <c r="F39" s="42" t="n">
        <f aca="false">F38*(1+$B$5)</f>
        <v>12067.0079127707</v>
      </c>
      <c r="G39" s="43" t="n">
        <f aca="false">F39-F38</f>
        <v>77.9290128494868</v>
      </c>
      <c r="H39" s="42" t="n">
        <f aca="false">H38*(1+$B$5)</f>
        <v>18100.511869156</v>
      </c>
      <c r="I39" s="43" t="n">
        <f aca="false">H39-H38</f>
        <v>116.893519274232</v>
      </c>
      <c r="J39" s="42" t="n">
        <f aca="false">J38*(1+$B$5)</f>
        <v>30167.5197819266</v>
      </c>
      <c r="K39" s="43" t="n">
        <f aca="false">J39-J38</f>
        <v>194.822532123719</v>
      </c>
      <c r="L39" s="42" t="n">
        <f aca="false">L38*(1+$B$5)</f>
        <v>60335.0395638533</v>
      </c>
      <c r="M39" s="43" t="n">
        <f aca="false">L39-L38</f>
        <v>389.645064247437</v>
      </c>
    </row>
    <row r="40" customFormat="false" ht="15" hidden="false" customHeight="false" outlineLevel="0" collapsed="false">
      <c r="A40" s="14" t="n">
        <v>30</v>
      </c>
      <c r="B40" s="44" t="n">
        <f aca="false">B39*(1+$B$5)</f>
        <v>1214.54434642037</v>
      </c>
      <c r="C40" s="41" t="n">
        <f aca="false">B40-B39</f>
        <v>7.84355514330082</v>
      </c>
      <c r="D40" s="44" t="n">
        <f aca="false">D39*(1+$B$5)</f>
        <v>6072.72173210183</v>
      </c>
      <c r="E40" s="41" t="n">
        <f aca="false">D40-D39</f>
        <v>39.2177757165046</v>
      </c>
      <c r="F40" s="44" t="n">
        <f aca="false">F39*(1+$B$5)</f>
        <v>12145.4434642037</v>
      </c>
      <c r="G40" s="41" t="n">
        <f aca="false">F40-F39</f>
        <v>78.4355514330091</v>
      </c>
      <c r="H40" s="44" t="n">
        <f aca="false">H39*(1+$B$5)</f>
        <v>18218.1651963055</v>
      </c>
      <c r="I40" s="41" t="n">
        <f aca="false">H40-H39</f>
        <v>117.653327149514</v>
      </c>
      <c r="J40" s="44" t="n">
        <f aca="false">J39*(1+$B$5)</f>
        <v>30363.6086605092</v>
      </c>
      <c r="K40" s="41" t="n">
        <f aca="false">J40-J39</f>
        <v>196.088878582523</v>
      </c>
      <c r="L40" s="44" t="n">
        <f aca="false">L39*(1+$B$5)</f>
        <v>60727.2173210183</v>
      </c>
      <c r="M40" s="41" t="n">
        <f aca="false">L40-L39</f>
        <v>392.177757165046</v>
      </c>
    </row>
    <row r="41" customFormat="false" ht="15" hidden="false" customHeight="false" outlineLevel="0" collapsed="false">
      <c r="A41" s="17" t="n">
        <v>31</v>
      </c>
      <c r="B41" s="42" t="n">
        <f aca="false">B40*(1+$B$5)</f>
        <v>1222.4388846721</v>
      </c>
      <c r="C41" s="43" t="n">
        <f aca="false">B41-B40</f>
        <v>7.89453825173223</v>
      </c>
      <c r="D41" s="42" t="n">
        <f aca="false">D40*(1+$B$5)</f>
        <v>6112.1944233605</v>
      </c>
      <c r="E41" s="43" t="n">
        <f aca="false">D41-D40</f>
        <v>39.4726912586621</v>
      </c>
      <c r="F41" s="42" t="n">
        <f aca="false">F40*(1+$B$5)</f>
        <v>12224.388846721</v>
      </c>
      <c r="G41" s="43" t="n">
        <f aca="false">F41-F40</f>
        <v>78.9453825173241</v>
      </c>
      <c r="H41" s="42" t="n">
        <f aca="false">H40*(1+$B$5)</f>
        <v>18336.5832700815</v>
      </c>
      <c r="I41" s="43" t="n">
        <f aca="false">H41-H40</f>
        <v>118.418073775985</v>
      </c>
      <c r="J41" s="42" t="n">
        <f aca="false">J40*(1+$B$5)</f>
        <v>30560.9721168025</v>
      </c>
      <c r="K41" s="43" t="n">
        <f aca="false">J41-J40</f>
        <v>197.363456293308</v>
      </c>
      <c r="L41" s="42" t="n">
        <f aca="false">L40*(1+$B$5)</f>
        <v>61121.9442336049</v>
      </c>
      <c r="M41" s="43" t="n">
        <f aca="false">L41-L40</f>
        <v>394.726912586615</v>
      </c>
    </row>
    <row r="42" customFormat="false" ht="15" hidden="false" customHeight="false" outlineLevel="0" collapsed="false">
      <c r="A42" s="14" t="n">
        <v>32</v>
      </c>
      <c r="B42" s="44" t="n">
        <f aca="false">B41*(1+$B$5)</f>
        <v>1230.38473742247</v>
      </c>
      <c r="C42" s="41" t="n">
        <f aca="false">B42-B41</f>
        <v>7.94585275036866</v>
      </c>
      <c r="D42" s="44" t="n">
        <f aca="false">D41*(1+$B$5)</f>
        <v>6151.92368711234</v>
      </c>
      <c r="E42" s="41" t="n">
        <f aca="false">D42-D41</f>
        <v>39.7292637518431</v>
      </c>
      <c r="F42" s="44" t="n">
        <f aca="false">F41*(1+$B$5)</f>
        <v>12303.8473742247</v>
      </c>
      <c r="G42" s="41" t="n">
        <f aca="false">F42-F41</f>
        <v>79.4585275036861</v>
      </c>
      <c r="H42" s="44" t="n">
        <f aca="false">H41*(1+$B$5)</f>
        <v>18455.771061337</v>
      </c>
      <c r="I42" s="41" t="n">
        <f aca="false">H42-H41</f>
        <v>119.187791255528</v>
      </c>
      <c r="J42" s="44" t="n">
        <f aca="false">J41*(1+$B$5)</f>
        <v>30759.6184355617</v>
      </c>
      <c r="K42" s="41" t="n">
        <f aca="false">J42-J41</f>
        <v>198.646318759216</v>
      </c>
      <c r="L42" s="44" t="n">
        <f aca="false">L41*(1+$B$5)</f>
        <v>61519.2368711234</v>
      </c>
      <c r="M42" s="41" t="n">
        <f aca="false">L42-L41</f>
        <v>397.292637518432</v>
      </c>
    </row>
    <row r="43" customFormat="false" ht="15" hidden="false" customHeight="false" outlineLevel="0" collapsed="false">
      <c r="A43" s="17" t="n">
        <v>33</v>
      </c>
      <c r="B43" s="42" t="n">
        <f aca="false">B42*(1+$B$5)</f>
        <v>1238.38223821571</v>
      </c>
      <c r="C43" s="43" t="n">
        <f aca="false">B43-B42</f>
        <v>7.99750079324599</v>
      </c>
      <c r="D43" s="42" t="n">
        <f aca="false">D42*(1+$B$5)</f>
        <v>6191.91119107857</v>
      </c>
      <c r="E43" s="43" t="n">
        <f aca="false">D43-D42</f>
        <v>39.9875039662302</v>
      </c>
      <c r="F43" s="42" t="n">
        <f aca="false">F42*(1+$B$5)</f>
        <v>12383.8223821571</v>
      </c>
      <c r="G43" s="43" t="n">
        <f aca="false">F43-F42</f>
        <v>79.9750079324604</v>
      </c>
      <c r="H43" s="42" t="n">
        <f aca="false">H42*(1+$B$5)</f>
        <v>18575.7335732357</v>
      </c>
      <c r="I43" s="43" t="n">
        <f aca="false">H43-H42</f>
        <v>119.962511898688</v>
      </c>
      <c r="J43" s="42" t="n">
        <f aca="false">J42*(1+$B$5)</f>
        <v>30959.5559553928</v>
      </c>
      <c r="K43" s="43" t="n">
        <f aca="false">J43-J42</f>
        <v>199.93751983115</v>
      </c>
      <c r="L43" s="42" t="n">
        <f aca="false">L42*(1+$B$5)</f>
        <v>61919.1119107857</v>
      </c>
      <c r="M43" s="43" t="n">
        <f aca="false">L43-L42</f>
        <v>399.8750396623</v>
      </c>
    </row>
    <row r="44" customFormat="false" ht="15" hidden="false" customHeight="false" outlineLevel="0" collapsed="false">
      <c r="A44" s="14" t="n">
        <v>34</v>
      </c>
      <c r="B44" s="44" t="n">
        <f aca="false">B43*(1+$B$5)</f>
        <v>1246.43172276412</v>
      </c>
      <c r="C44" s="41" t="n">
        <f aca="false">B44-B43</f>
        <v>8.04948454840201</v>
      </c>
      <c r="D44" s="44" t="n">
        <f aca="false">D43*(1+$B$5)</f>
        <v>6232.15861382058</v>
      </c>
      <c r="E44" s="41" t="n">
        <f aca="false">D44-D43</f>
        <v>40.2474227420107</v>
      </c>
      <c r="F44" s="44" t="n">
        <f aca="false">F43*(1+$B$5)</f>
        <v>12464.3172276412</v>
      </c>
      <c r="G44" s="41" t="n">
        <f aca="false">F44-F43</f>
        <v>80.4948454840214</v>
      </c>
      <c r="H44" s="44" t="n">
        <f aca="false">H43*(1+$B$5)</f>
        <v>18696.4758414617</v>
      </c>
      <c r="I44" s="41" t="n">
        <f aca="false">H44-H43</f>
        <v>120.742268226029</v>
      </c>
      <c r="J44" s="44" t="n">
        <f aca="false">J43*(1+$B$5)</f>
        <v>31160.7930691029</v>
      </c>
      <c r="K44" s="41" t="n">
        <f aca="false">J44-J43</f>
        <v>201.237113710053</v>
      </c>
      <c r="L44" s="44" t="n">
        <f aca="false">L43*(1+$B$5)</f>
        <v>62321.5861382058</v>
      </c>
      <c r="M44" s="41" t="n">
        <f aca="false">L44-L43</f>
        <v>402.474227420105</v>
      </c>
    </row>
    <row r="45" customFormat="false" ht="15" hidden="false" customHeight="false" outlineLevel="0" collapsed="false">
      <c r="A45" s="17" t="n">
        <v>35</v>
      </c>
      <c r="B45" s="42" t="n">
        <f aca="false">B44*(1+$B$5)</f>
        <v>1254.53352896208</v>
      </c>
      <c r="C45" s="43" t="n">
        <f aca="false">B45-B44</f>
        <v>8.10180619796665</v>
      </c>
      <c r="D45" s="42" t="n">
        <f aca="false">D44*(1+$B$5)</f>
        <v>6272.66764481041</v>
      </c>
      <c r="E45" s="43" t="n">
        <f aca="false">D45-D44</f>
        <v>40.5090309898333</v>
      </c>
      <c r="F45" s="42" t="n">
        <f aca="false">F44*(1+$B$5)</f>
        <v>12545.3352896208</v>
      </c>
      <c r="G45" s="43" t="n">
        <f aca="false">F45-F44</f>
        <v>81.0180619796665</v>
      </c>
      <c r="H45" s="42" t="n">
        <f aca="false">H44*(1+$B$5)</f>
        <v>18818.0029344312</v>
      </c>
      <c r="I45" s="43" t="n">
        <f aca="false">H45-H44</f>
        <v>121.5270929695</v>
      </c>
      <c r="J45" s="42" t="n">
        <f aca="false">J44*(1+$B$5)</f>
        <v>31363.3382240521</v>
      </c>
      <c r="K45" s="43" t="n">
        <f aca="false">J45-J44</f>
        <v>202.545154949166</v>
      </c>
      <c r="L45" s="42" t="n">
        <f aca="false">L44*(1+$B$5)</f>
        <v>62726.6764481041</v>
      </c>
      <c r="M45" s="43" t="n">
        <f aca="false">L45-L44</f>
        <v>405.090309898333</v>
      </c>
    </row>
    <row r="46" customFormat="false" ht="15" hidden="false" customHeight="false" outlineLevel="0" collapsed="false">
      <c r="A46" s="45" t="n">
        <v>36</v>
      </c>
      <c r="B46" s="46" t="n">
        <f aca="false">B45*(1+$B$5)</f>
        <v>1262.68799690034</v>
      </c>
      <c r="C46" s="47" t="n">
        <f aca="false">B46-B45</f>
        <v>8.15446793825345</v>
      </c>
      <c r="D46" s="46" t="n">
        <f aca="false">D45*(1+$B$5)</f>
        <v>6313.43998450168</v>
      </c>
      <c r="E46" s="47" t="n">
        <f aca="false">D46-D45</f>
        <v>40.772339691267</v>
      </c>
      <c r="F46" s="46" t="n">
        <f aca="false">F45*(1+$B$5)</f>
        <v>12626.8799690034</v>
      </c>
      <c r="G46" s="47" t="n">
        <f aca="false">F46-F45</f>
        <v>81.544679382534</v>
      </c>
      <c r="H46" s="46" t="n">
        <f aca="false">H45*(1+$B$5)</f>
        <v>18940.319953505</v>
      </c>
      <c r="I46" s="47" t="n">
        <f aca="false">H46-H45</f>
        <v>122.317019073802</v>
      </c>
      <c r="J46" s="46" t="n">
        <f aca="false">J45*(1+$B$5)</f>
        <v>31567.1999225084</v>
      </c>
      <c r="K46" s="47" t="n">
        <f aca="false">J46-J45</f>
        <v>203.861698456338</v>
      </c>
      <c r="L46" s="46" t="n">
        <f aca="false">L45*(1+$B$5)</f>
        <v>63134.3998450168</v>
      </c>
      <c r="M46" s="47" t="n">
        <f aca="false">L46-L45</f>
        <v>407.723396912676</v>
      </c>
    </row>
    <row r="48" customFormat="false" ht="15" hidden="false" customHeight="false" outlineLevel="0" collapsed="false">
      <c r="A48" s="48" t="s">
        <v>42</v>
      </c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</row>
    <row r="49" customFormat="false" ht="15" hidden="false" customHeight="false" outlineLevel="0" collapsed="false">
      <c r="A49" s="50" t="s">
        <v>43</v>
      </c>
      <c r="B49" s="51" t="n">
        <v>1000</v>
      </c>
      <c r="C49" s="51"/>
      <c r="D49" s="51" t="n">
        <v>5000</v>
      </c>
      <c r="E49" s="51"/>
      <c r="F49" s="51" t="n">
        <v>10000</v>
      </c>
      <c r="G49" s="51"/>
      <c r="H49" s="51" t="n">
        <v>15000</v>
      </c>
      <c r="I49" s="51"/>
      <c r="J49" s="51" t="n">
        <v>25000</v>
      </c>
      <c r="K49" s="51"/>
      <c r="L49" s="51" t="n">
        <v>50000</v>
      </c>
      <c r="M49" s="51"/>
    </row>
    <row r="50" customFormat="false" ht="15" hidden="false" customHeight="false" outlineLevel="0" collapsed="false">
      <c r="A50" s="26" t="s">
        <v>20</v>
      </c>
      <c r="B50" s="27" t="n">
        <f aca="false">B46</f>
        <v>1262.68799690034</v>
      </c>
      <c r="C50" s="27"/>
      <c r="D50" s="27" t="n">
        <f aca="false">D46</f>
        <v>6313.43998450168</v>
      </c>
      <c r="E50" s="27"/>
      <c r="F50" s="27" t="n">
        <f aca="false">F46</f>
        <v>12626.8799690034</v>
      </c>
      <c r="G50" s="27"/>
      <c r="H50" s="27" t="n">
        <f aca="false">H46</f>
        <v>18940.319953505</v>
      </c>
      <c r="I50" s="27"/>
      <c r="J50" s="27" t="n">
        <f aca="false">J46</f>
        <v>31567.1999225084</v>
      </c>
      <c r="K50" s="27"/>
      <c r="L50" s="27" t="n">
        <f aca="false">L46</f>
        <v>63134.3998450168</v>
      </c>
      <c r="M50" s="27"/>
    </row>
    <row r="51" customFormat="false" ht="15" hidden="false" customHeight="false" outlineLevel="0" collapsed="false">
      <c r="A51" s="50" t="s">
        <v>44</v>
      </c>
      <c r="B51" s="51" t="n">
        <f aca="false">B50-B49</f>
        <v>262.687996900336</v>
      </c>
      <c r="C51" s="51"/>
      <c r="D51" s="51" t="n">
        <f aca="false">D50-D49</f>
        <v>1313.43998450168</v>
      </c>
      <c r="E51" s="51"/>
      <c r="F51" s="51" t="n">
        <f aca="false">F50-F49</f>
        <v>2626.87996900336</v>
      </c>
      <c r="G51" s="51"/>
      <c r="H51" s="51" t="n">
        <f aca="false">H50-H49</f>
        <v>3940.31995350502</v>
      </c>
      <c r="I51" s="51"/>
      <c r="J51" s="51" t="n">
        <f aca="false">J50-J49</f>
        <v>6567.19992250839</v>
      </c>
      <c r="K51" s="51"/>
      <c r="L51" s="51" t="n">
        <f aca="false">L50-L49</f>
        <v>13134.3998450168</v>
      </c>
      <c r="M51" s="51"/>
    </row>
    <row r="52" customFormat="false" ht="15" hidden="false" customHeight="false" outlineLevel="0" collapsed="false">
      <c r="A52" s="26" t="s">
        <v>22</v>
      </c>
      <c r="B52" s="27" t="n">
        <f aca="false">IF(B51&gt;0,B51*0.26,0)</f>
        <v>68.2988791940872</v>
      </c>
      <c r="C52" s="27"/>
      <c r="D52" s="27" t="n">
        <f aca="false">IF(D51&gt;0,D51*0.26,0)</f>
        <v>341.494395970437</v>
      </c>
      <c r="E52" s="27"/>
      <c r="F52" s="27" t="n">
        <f aca="false">IF(F51&gt;0,F51*0.26,0)</f>
        <v>682.988791940874</v>
      </c>
      <c r="G52" s="27"/>
      <c r="H52" s="27" t="n">
        <f aca="false">IF(H51&gt;0,H51*0.26,0)</f>
        <v>1024.48318791131</v>
      </c>
      <c r="I52" s="27"/>
      <c r="J52" s="27" t="n">
        <f aca="false">IF(J51&gt;0,J51*0.26,0)</f>
        <v>1707.47197985218</v>
      </c>
      <c r="K52" s="27"/>
      <c r="L52" s="27" t="n">
        <f aca="false">IF(L51&gt;0,L51*0.26,0)</f>
        <v>3414.94395970436</v>
      </c>
      <c r="M52" s="27"/>
    </row>
    <row r="53" customFormat="false" ht="15" hidden="false" customHeight="false" outlineLevel="0" collapsed="false">
      <c r="A53" s="50" t="s">
        <v>45</v>
      </c>
      <c r="B53" s="52" t="n">
        <f aca="false">B51-B52</f>
        <v>194.389117706248</v>
      </c>
      <c r="C53" s="52"/>
      <c r="D53" s="52" t="n">
        <f aca="false">D51-D52</f>
        <v>971.945588531244</v>
      </c>
      <c r="E53" s="52"/>
      <c r="F53" s="52" t="n">
        <f aca="false">F51-F52</f>
        <v>1943.89117706249</v>
      </c>
      <c r="G53" s="52"/>
      <c r="H53" s="52" t="n">
        <f aca="false">H51-H52</f>
        <v>2915.83676559372</v>
      </c>
      <c r="I53" s="52"/>
      <c r="J53" s="52" t="n">
        <f aca="false">J51-J52</f>
        <v>4859.72794265621</v>
      </c>
      <c r="K53" s="52"/>
      <c r="L53" s="52" t="n">
        <f aca="false">L51-L52</f>
        <v>9719.45588531242</v>
      </c>
      <c r="M53" s="52"/>
    </row>
    <row r="54" customFormat="false" ht="15" hidden="false" customHeight="false" outlineLevel="0" collapsed="false">
      <c r="A54" s="26" t="s">
        <v>46</v>
      </c>
      <c r="B54" s="29" t="n">
        <f aca="false">B53/B49</f>
        <v>0.194389117706248</v>
      </c>
      <c r="C54" s="29"/>
      <c r="D54" s="29" t="n">
        <f aca="false">D53/D49</f>
        <v>0.194389117706249</v>
      </c>
      <c r="E54" s="29"/>
      <c r="F54" s="29" t="n">
        <f aca="false">F53/F49</f>
        <v>0.194389117706249</v>
      </c>
      <c r="G54" s="29"/>
      <c r="H54" s="29" t="n">
        <f aca="false">H53/H49</f>
        <v>0.194389117706248</v>
      </c>
      <c r="I54" s="29"/>
      <c r="J54" s="29" t="n">
        <f aca="false">J53/J49</f>
        <v>0.194389117706248</v>
      </c>
      <c r="K54" s="29"/>
      <c r="L54" s="29" t="n">
        <f aca="false">L53/L49</f>
        <v>0.194389117706248</v>
      </c>
      <c r="M54" s="29"/>
    </row>
  </sheetData>
  <mergeCells count="45">
    <mergeCell ref="A1:N1"/>
    <mergeCell ref="A2:N2"/>
    <mergeCell ref="A4:C4"/>
    <mergeCell ref="B8:C8"/>
    <mergeCell ref="D8:E8"/>
    <mergeCell ref="F8:G8"/>
    <mergeCell ref="H8:I8"/>
    <mergeCell ref="J8:K8"/>
    <mergeCell ref="L8:M8"/>
    <mergeCell ref="B49:C49"/>
    <mergeCell ref="D49:E49"/>
    <mergeCell ref="F49:G49"/>
    <mergeCell ref="H49:I49"/>
    <mergeCell ref="J49:K49"/>
    <mergeCell ref="L49:M49"/>
    <mergeCell ref="B50:C50"/>
    <mergeCell ref="D50:E50"/>
    <mergeCell ref="F50:G50"/>
    <mergeCell ref="H50:I50"/>
    <mergeCell ref="J50:K50"/>
    <mergeCell ref="L50:M50"/>
    <mergeCell ref="B51:C51"/>
    <mergeCell ref="D51:E51"/>
    <mergeCell ref="F51:G51"/>
    <mergeCell ref="H51:I51"/>
    <mergeCell ref="J51:K51"/>
    <mergeCell ref="L51:M51"/>
    <mergeCell ref="B52:C52"/>
    <mergeCell ref="D52:E52"/>
    <mergeCell ref="F52:G52"/>
    <mergeCell ref="H52:I52"/>
    <mergeCell ref="J52:K52"/>
    <mergeCell ref="L52:M52"/>
    <mergeCell ref="B53:C53"/>
    <mergeCell ref="D53:E53"/>
    <mergeCell ref="F53:G53"/>
    <mergeCell ref="H53:I53"/>
    <mergeCell ref="J53:K53"/>
    <mergeCell ref="L53:M53"/>
    <mergeCell ref="B54:C54"/>
    <mergeCell ref="D54:E54"/>
    <mergeCell ref="F54:G54"/>
    <mergeCell ref="H54:I54"/>
    <mergeCell ref="J54:K54"/>
    <mergeCell ref="L54:M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tru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7" min="3" style="0" width="18"/>
    <col collapsed="false" customWidth="true" hidden="false" outlineLevel="0" max="8" min="8" style="0" width="38"/>
  </cols>
  <sheetData>
    <row r="1" customFormat="false" ht="39.75" hidden="false" customHeight="true" outlineLevel="0" collapsed="false">
      <c r="A1" s="53" t="s">
        <v>47</v>
      </c>
      <c r="B1" s="53"/>
      <c r="C1" s="53"/>
      <c r="D1" s="53"/>
      <c r="E1" s="53"/>
      <c r="F1" s="53"/>
      <c r="G1" s="53"/>
      <c r="H1" s="53"/>
    </row>
    <row r="2" customFormat="false" ht="15" hidden="false" customHeight="false" outlineLevel="0" collapsed="false">
      <c r="A2" s="54" t="s">
        <v>48</v>
      </c>
      <c r="B2" s="54"/>
      <c r="C2" s="54"/>
      <c r="D2" s="54"/>
      <c r="E2" s="54"/>
      <c r="F2" s="54"/>
      <c r="G2" s="54"/>
      <c r="H2" s="54"/>
    </row>
    <row r="4" customFormat="false" ht="15" hidden="false" customHeight="false" outlineLevel="0" collapsed="false">
      <c r="A4" s="55" t="s">
        <v>49</v>
      </c>
      <c r="B4" s="55" t="s">
        <v>50</v>
      </c>
      <c r="C4" s="55" t="s">
        <v>51</v>
      </c>
      <c r="D4" s="55" t="s">
        <v>52</v>
      </c>
      <c r="E4" s="55" t="s">
        <v>53</v>
      </c>
      <c r="F4" s="55" t="s">
        <v>54</v>
      </c>
      <c r="G4" s="55" t="s">
        <v>55</v>
      </c>
      <c r="H4" s="55" t="s">
        <v>56</v>
      </c>
    </row>
    <row r="5" customFormat="false" ht="15" hidden="false" customHeight="false" outlineLevel="0" collapsed="false">
      <c r="A5" s="56" t="s">
        <v>57</v>
      </c>
      <c r="B5" s="57" t="n">
        <v>0.002</v>
      </c>
      <c r="C5" s="58" t="n">
        <v>13181</v>
      </c>
      <c r="D5" s="58" t="n">
        <v>25658</v>
      </c>
      <c r="E5" s="58" t="n">
        <v>38438</v>
      </c>
      <c r="F5" s="58" t="n">
        <v>1438</v>
      </c>
      <c r="G5" s="59" t="n">
        <v>1064</v>
      </c>
      <c r="H5" s="60" t="s">
        <v>58</v>
      </c>
    </row>
    <row r="6" customFormat="false" ht="15" hidden="false" customHeight="false" outlineLevel="0" collapsed="false">
      <c r="A6" s="61" t="s">
        <v>59</v>
      </c>
      <c r="B6" s="62" t="n">
        <v>0.004</v>
      </c>
      <c r="C6" s="63" t="n">
        <v>13366</v>
      </c>
      <c r="D6" s="63" t="n">
        <v>26338</v>
      </c>
      <c r="E6" s="63" t="n">
        <v>39947</v>
      </c>
      <c r="F6" s="63" t="n">
        <v>2947</v>
      </c>
      <c r="G6" s="64" t="n">
        <v>2181</v>
      </c>
      <c r="H6" s="65" t="s">
        <v>60</v>
      </c>
    </row>
    <row r="7" customFormat="false" ht="15" hidden="false" customHeight="false" outlineLevel="0" collapsed="false">
      <c r="A7" s="66" t="s">
        <v>61</v>
      </c>
      <c r="B7" s="67" t="n">
        <v>0.0065</v>
      </c>
      <c r="C7" s="68" t="n">
        <v>13600</v>
      </c>
      <c r="D7" s="68" t="n">
        <v>27219</v>
      </c>
      <c r="E7" s="68" t="n">
        <v>41939</v>
      </c>
      <c r="F7" s="68" t="n">
        <v>4939</v>
      </c>
      <c r="G7" s="69" t="n">
        <v>3655</v>
      </c>
      <c r="H7" s="70" t="s">
        <v>62</v>
      </c>
    </row>
    <row r="8" customFormat="false" ht="15" hidden="false" customHeight="false" outlineLevel="0" collapsed="false">
      <c r="A8" s="61" t="s">
        <v>63</v>
      </c>
      <c r="B8" s="62" t="n">
        <v>0.01</v>
      </c>
      <c r="C8" s="63" t="n">
        <v>13936</v>
      </c>
      <c r="D8" s="63" t="n">
        <v>28513</v>
      </c>
      <c r="E8" s="63" t="n">
        <v>44938</v>
      </c>
      <c r="F8" s="63" t="n">
        <v>7938</v>
      </c>
      <c r="G8" s="64" t="n">
        <v>5874</v>
      </c>
      <c r="H8" s="65" t="s">
        <v>64</v>
      </c>
    </row>
    <row r="9" customFormat="false" ht="15" hidden="false" customHeight="false" outlineLevel="0" collapsed="false">
      <c r="A9" s="56" t="s">
        <v>65</v>
      </c>
      <c r="B9" s="57" t="n">
        <v>0.015</v>
      </c>
      <c r="C9" s="58" t="n">
        <v>14432</v>
      </c>
      <c r="D9" s="58" t="n">
        <v>30493</v>
      </c>
      <c r="E9" s="58" t="n">
        <v>49694</v>
      </c>
      <c r="F9" s="58" t="n">
        <v>12694</v>
      </c>
      <c r="G9" s="59" t="n">
        <v>9394</v>
      </c>
      <c r="H9" s="60" t="s">
        <v>66</v>
      </c>
    </row>
    <row r="10" customFormat="false" ht="15" hidden="false" customHeight="false" outlineLevel="0" collapsed="false">
      <c r="A10" s="61" t="s">
        <v>67</v>
      </c>
      <c r="B10" s="62" t="n">
        <v>0.0083</v>
      </c>
      <c r="C10" s="63" t="n">
        <v>13772</v>
      </c>
      <c r="D10" s="63" t="n">
        <v>27875</v>
      </c>
      <c r="E10" s="63" t="n">
        <v>43450</v>
      </c>
      <c r="F10" s="63" t="n">
        <v>6450</v>
      </c>
      <c r="G10" s="64" t="n">
        <v>4773</v>
      </c>
      <c r="H10" s="65" t="s">
        <v>68</v>
      </c>
    </row>
    <row r="13" customFormat="false" ht="15" hidden="false" customHeight="true" outlineLevel="0" collapsed="false">
      <c r="A13" s="71" t="s">
        <v>69</v>
      </c>
      <c r="B13" s="71"/>
      <c r="C13" s="71"/>
      <c r="D13" s="71"/>
      <c r="E13" s="71"/>
      <c r="F13" s="71"/>
      <c r="G13" s="71"/>
      <c r="H13" s="71"/>
    </row>
  </sheetData>
  <mergeCells count="3">
    <mergeCell ref="A1:H1"/>
    <mergeCell ref="A2:H2"/>
    <mergeCell ref="A13:H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2026-02-04T14:14:15Z</dcterms:created>
  <dc:creator>openpyxl</dc:creator>
  <dc:description/>
  <dc:language>en-US</dc:language>
  <cp:lastModifiedBy/>
  <dcterms:modified xsi:type="dcterms:W3CDTF">2026-02-04T14:14:15Z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